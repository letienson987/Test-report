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mc:AlternateContent xmlns:mc="http://schemas.openxmlformats.org/markup-compatibility/2006">
    <mc:Choice Requires="x15">
      <x15ac:absPath xmlns:x15ac="http://schemas.microsoft.com/office/spreadsheetml/2010/11/ac" url="/Users/ThomasLee/Desktop/"/>
    </mc:Choice>
  </mc:AlternateContent>
  <xr:revisionPtr revIDLastSave="0" documentId="13_ncr:1_{50CDCB0F-CAB5-F346-AB69-020851E08F91}" xr6:coauthVersionLast="47" xr6:coauthVersionMax="47" xr10:uidLastSave="{00000000-0000-0000-0000-000000000000}"/>
  <bookViews>
    <workbookView xWindow="0" yWindow="0" windowWidth="25600" windowHeight="16000" tabRatio="821" activeTab="8" xr2:uid="{00000000-000D-0000-FFFF-FFFF00000000}"/>
  </bookViews>
  <sheets>
    <sheet name="Test Report" sheetId="5" r:id="rId1"/>
    <sheet name="Test case List" sheetId="2" r:id="rId2"/>
    <sheet name="Module1" sheetId="3" r:id="rId3"/>
    <sheet name="Module2" sheetId="4" r:id="rId4"/>
    <sheet name="Module3" sheetId="7" r:id="rId5"/>
    <sheet name="Module4" sheetId="8" r:id="rId6"/>
    <sheet name="Module5" sheetId="9" r:id="rId7"/>
    <sheet name="Module6" sheetId="10" r:id="rId8"/>
    <sheet name="Module7" sheetId="11" r:id="rId9"/>
  </sheets>
  <definedNames>
    <definedName name="_xlnm._FilterDatabase" localSheetId="2" hidden="1">Module1!$A$8:$H$16</definedName>
    <definedName name="_xlnm._FilterDatabase" localSheetId="3" hidden="1">Module2!$A$8:$H$21</definedName>
    <definedName name="_xlnm._FilterDatabase" localSheetId="4" hidden="1">Module3!$A$8:$J$8</definedName>
    <definedName name="_xlnm._FilterDatabase" localSheetId="5" hidden="1">Module4!$A$8:$J$8</definedName>
    <definedName name="_xlnm._FilterDatabase" localSheetId="6" hidden="1">Module5!$A$8:$J$8</definedName>
    <definedName name="ACTION">#REF!</definedName>
  </definedNames>
  <calcPr calcId="191028"/>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11" i="11" l="1"/>
  <c r="A12" i="11"/>
  <c r="A13" i="11"/>
  <c r="C17" i="5"/>
  <c r="C16" i="5"/>
  <c r="C15" i="5"/>
  <c r="C14" i="5"/>
  <c r="C13" i="5"/>
  <c r="A11" i="9"/>
  <c r="E6" i="9" s="1"/>
  <c r="H15" i="5" s="1"/>
  <c r="A12" i="9"/>
  <c r="A13" i="9"/>
  <c r="A14" i="9"/>
  <c r="A15" i="9"/>
  <c r="A16" i="9"/>
  <c r="A17" i="9"/>
  <c r="A10" i="9"/>
  <c r="A22" i="4"/>
  <c r="A17" i="4"/>
  <c r="A12" i="7"/>
  <c r="A11" i="7"/>
  <c r="A14" i="4"/>
  <c r="A13" i="4"/>
  <c r="A12" i="4"/>
  <c r="A6" i="9"/>
  <c r="D15" i="5" s="1"/>
  <c r="A14" i="10"/>
  <c r="A15" i="8"/>
  <c r="A11" i="10"/>
  <c r="A13" i="10"/>
  <c r="A11" i="3"/>
  <c r="A11" i="8"/>
  <c r="A10" i="7"/>
  <c r="A13" i="8"/>
  <c r="A12" i="8"/>
  <c r="A10" i="11"/>
  <c r="E6" i="11" s="1"/>
  <c r="H17" i="5" s="1"/>
  <c r="D6" i="11"/>
  <c r="G17" i="5" s="1"/>
  <c r="B6" i="11"/>
  <c r="E17" i="5" s="1"/>
  <c r="A6" i="11"/>
  <c r="D17" i="5" s="1"/>
  <c r="A12" i="10"/>
  <c r="A10" i="10"/>
  <c r="D6" i="10"/>
  <c r="G16" i="5" s="1"/>
  <c r="B6" i="10"/>
  <c r="E16" i="5" s="1"/>
  <c r="A6" i="10"/>
  <c r="D16" i="5" s="1"/>
  <c r="D6" i="9"/>
  <c r="G15" i="5" s="1"/>
  <c r="B6" i="9"/>
  <c r="E15" i="5" s="1"/>
  <c r="A16" i="3"/>
  <c r="A15" i="3"/>
  <c r="A14" i="3"/>
  <c r="A13" i="3"/>
  <c r="A10" i="3"/>
  <c r="D6" i="3"/>
  <c r="G11" i="5" s="1"/>
  <c r="B6" i="3"/>
  <c r="E11" i="5" s="1"/>
  <c r="A6" i="3"/>
  <c r="D11" i="5" s="1"/>
  <c r="A16" i="7"/>
  <c r="A14" i="8"/>
  <c r="A10" i="8"/>
  <c r="D6" i="8"/>
  <c r="G14" i="5" s="1"/>
  <c r="B6" i="8"/>
  <c r="E14" i="5" s="1"/>
  <c r="A6" i="8"/>
  <c r="D14" i="5" s="1"/>
  <c r="A15" i="7"/>
  <c r="A14" i="7"/>
  <c r="A13" i="7"/>
  <c r="E6" i="7"/>
  <c r="H13" i="5" s="1"/>
  <c r="D6" i="7"/>
  <c r="G13" i="5" s="1"/>
  <c r="B6" i="7"/>
  <c r="E13" i="5" s="1"/>
  <c r="A6" i="7"/>
  <c r="D13" i="5" s="1"/>
  <c r="A21" i="4"/>
  <c r="A20" i="4"/>
  <c r="E6" i="10" l="1"/>
  <c r="H16" i="5" s="1"/>
  <c r="E6" i="8"/>
  <c r="H14" i="5" s="1"/>
  <c r="E6" i="3"/>
  <c r="C6" i="11"/>
  <c r="F17" i="5" s="1"/>
  <c r="C6" i="9"/>
  <c r="F15" i="5" s="1"/>
  <c r="C6" i="7"/>
  <c r="F13" i="5" s="1"/>
  <c r="A18" i="4"/>
  <c r="A19" i="4"/>
  <c r="C6" i="10" l="1"/>
  <c r="F16" i="5" s="1"/>
  <c r="C6" i="8"/>
  <c r="F14" i="5" s="1"/>
  <c r="C6" i="3"/>
  <c r="F11" i="5" s="1"/>
  <c r="H11" i="5"/>
  <c r="A10" i="4"/>
  <c r="A11" i="4"/>
  <c r="A6" i="4" l="1"/>
  <c r="D12" i="5" s="1"/>
  <c r="B6" i="4"/>
  <c r="E12" i="5" s="1"/>
  <c r="A16" i="4"/>
  <c r="D6" i="4"/>
  <c r="G12" i="5" s="1"/>
  <c r="D3" i="2"/>
  <c r="D4" i="2"/>
  <c r="C5" i="5"/>
  <c r="C11" i="5"/>
  <c r="C12" i="5"/>
  <c r="E21" i="5" l="1"/>
  <c r="E6" i="4"/>
  <c r="H12" i="5" s="1"/>
  <c r="D21" i="5"/>
  <c r="G21" i="5"/>
  <c r="C6" i="4" l="1"/>
  <c r="F12" i="5" s="1"/>
  <c r="H21" i="5"/>
  <c r="F21" i="5" l="1"/>
  <c r="E24" i="5"/>
  <c r="E2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300-000001000000}">
      <text>
        <r>
          <rPr>
            <b/>
            <sz val="8"/>
            <color indexed="8"/>
            <rFont val="Times New Roman"/>
            <family val="1"/>
          </rPr>
          <t xml:space="preserve">Pass
Fail
Untested
N/A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400-000001000000}">
      <text>
        <r>
          <rPr>
            <b/>
            <sz val="8"/>
            <color indexed="8"/>
            <rFont val="Times New Roman"/>
            <family val="1"/>
          </rPr>
          <t xml:space="preserve">Pass
Fail
Untested
N/A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5E514E47-9CBB-4952-901F-4350D31ED81C}">
      <text>
        <r>
          <rPr>
            <b/>
            <sz val="8"/>
            <color indexed="8"/>
            <rFont val="Times New Roman"/>
            <family val="1"/>
          </rPr>
          <t xml:space="preserve">Pass
Fail
Untested
N/A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FFF31406-B612-46D3-9F04-CC6B5D26A58A}">
      <text>
        <r>
          <rPr>
            <b/>
            <sz val="8"/>
            <color indexed="8"/>
            <rFont val="Times New Roman"/>
            <family val="1"/>
          </rPr>
          <t xml:space="preserve">Pass
Fail
Untested
N/A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E82EE11D-8757-47DF-AF7B-F10D8284402A}">
      <text>
        <r>
          <rPr>
            <b/>
            <sz val="8"/>
            <color indexed="8"/>
            <rFont val="Times New Roman"/>
            <family val="1"/>
          </rPr>
          <t xml:space="preserve">Pass
Fail
Untested
N/A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31D42CA2-D059-4BF5-BB50-ACBAA9850E24}">
      <text>
        <r>
          <rPr>
            <b/>
            <sz val="8"/>
            <color indexed="8"/>
            <rFont val="Times New Roman"/>
            <family val="1"/>
          </rPr>
          <t xml:space="preserve">Pass
Fail
Untested
N/A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8AB8AC94-C16D-42BB-B945-5A5C3325CD5B}">
      <text>
        <r>
          <rPr>
            <b/>
            <sz val="8"/>
            <color indexed="8"/>
            <rFont val="Times New Roman"/>
            <family val="1"/>
          </rPr>
          <t xml:space="preserve">Pass
Fail
Untested
N/A
</t>
        </r>
      </text>
    </comment>
  </commentList>
</comments>
</file>

<file path=xl/sharedStrings.xml><?xml version="1.0" encoding="utf-8"?>
<sst xmlns="http://schemas.openxmlformats.org/spreadsheetml/2006/main" count="413" uniqueCount="203">
  <si>
    <t>TEST CASE LIST</t>
  </si>
  <si>
    <t>Project Name</t>
  </si>
  <si>
    <t>Project Code</t>
  </si>
  <si>
    <t>Test Environment Setup Description</t>
  </si>
  <si>
    <t>&lt;List enviroment requires in this system
1. Server
2. Database
3. Web Browser
...
&gt;</t>
  </si>
  <si>
    <t>No</t>
  </si>
  <si>
    <t>Function Name</t>
  </si>
  <si>
    <t>Sheet Name</t>
  </si>
  <si>
    <t>Description</t>
  </si>
  <si>
    <t>Pre-Condition</t>
  </si>
  <si>
    <t>Chức năng đăng ký</t>
  </si>
  <si>
    <t>Module1</t>
  </si>
  <si>
    <t>Chức năng đăng nhập</t>
  </si>
  <si>
    <t>Chức năng lọc</t>
  </si>
  <si>
    <t>Module2</t>
  </si>
  <si>
    <t>Chức năng đặt phòng</t>
  </si>
  <si>
    <t>Chức năng ưu đãi</t>
  </si>
  <si>
    <t>Module3</t>
  </si>
  <si>
    <t>Chức năng tài khoản</t>
  </si>
  <si>
    <t>Module4</t>
  </si>
  <si>
    <t>Chức năng bình luận và đánh giá</t>
  </si>
  <si>
    <t>Module5</t>
  </si>
  <si>
    <t>Chức năng đăng xuất</t>
  </si>
  <si>
    <t>Module6</t>
  </si>
  <si>
    <t>Chức năng đầu cuối (quy trình)</t>
  </si>
  <si>
    <t>Module7</t>
  </si>
  <si>
    <t>TEST REPORT</t>
  </si>
  <si>
    <t>&lt;Project Name&gt;</t>
  </si>
  <si>
    <t>Creator</t>
  </si>
  <si>
    <t>&lt;Project Code&gt;</t>
  </si>
  <si>
    <t>Reviewer/Approver</t>
  </si>
  <si>
    <t>Document Code</t>
  </si>
  <si>
    <t>Issue Date</t>
  </si>
  <si>
    <t>&lt;Date when this test report is created&gt;</t>
  </si>
  <si>
    <t>Notes</t>
  </si>
  <si>
    <t>Module code</t>
  </si>
  <si>
    <t>Pass</t>
  </si>
  <si>
    <t>Fail</t>
  </si>
  <si>
    <t>Untested</t>
  </si>
  <si>
    <t>N/A</t>
  </si>
  <si>
    <t>Number of  test cases</t>
  </si>
  <si>
    <t>Sub total</t>
  </si>
  <si>
    <t>Test coverage</t>
  </si>
  <si>
    <t>%</t>
  </si>
  <si>
    <t>Test successful coverage</t>
  </si>
  <si>
    <t>Module Code</t>
  </si>
  <si>
    <t xml:space="preserve">Module1 </t>
  </si>
  <si>
    <t>Test requirement</t>
  </si>
  <si>
    <t>ĐĂNG KÝ VÀ ĐĂNG NHẬP</t>
  </si>
  <si>
    <t>Tester</t>
  </si>
  <si>
    <t>Number of Test cases</t>
  </si>
  <si>
    <t>Untesed</t>
  </si>
  <si>
    <t>ID</t>
  </si>
  <si>
    <t>Test Case Description</t>
  </si>
  <si>
    <t>Test Case Procedure</t>
  </si>
  <si>
    <t>Expected Output</t>
  </si>
  <si>
    <t>Inter-test case Dependence</t>
  </si>
  <si>
    <t>Result</t>
  </si>
  <si>
    <t>Test date</t>
  </si>
  <si>
    <t>Note</t>
  </si>
  <si>
    <t>Xác minh rằng textbox có trình giữ chỗ “Số điện thoại ”, “Biệt danh” được căn chỉnh chính xác trên biểu mẫu Đăng ký.</t>
  </si>
  <si>
    <t>1. Mở trang chủ (nếu cửa sổ bật lên vị trí hiển thị, hãy chọn bất kỳ vị trí nào, ví dụ: Hà Nội, và nhấp vào checkbox:'Không hiển thị lại')
2. Nhấp vào nút 'Tài khoản'
3. Nhấp vào hyperlink 'Đăng ký ngay'</t>
  </si>
  <si>
    <t>Textbox có trình giữ chỗ "Số điện thoại" và "Biệt danh" được căn chỉnh chính xác.</t>
  </si>
  <si>
    <t xml:space="preserve">Xác minh trang đăng kí phải có tiêu đề thích hợp </t>
  </si>
  <si>
    <t xml:space="preserve">Trang đăng kí có tiêu đề thích hợp </t>
  </si>
  <si>
    <t>Xác minh textbox với trình giữ chỗ "Số điện thoại" và "Mật khẩu Go2Joy" được căn chỉnh chính xác trên biểu mẫu Đăng nhập.</t>
  </si>
  <si>
    <t xml:space="preserve">1. Mở trang chủ
2. Nhấp vào nút Tài khoản </t>
  </si>
  <si>
    <t>Textbox có trình giữ chỗ "Số điện thoại" và "Mật khẩu Go2Joy " được căn chỉnh đúng cách.</t>
  </si>
  <si>
    <t>Xác minh textbox mật khẩu hiển thị dấu chấm trên biểu mẫu Đăng nhập.</t>
  </si>
  <si>
    <t xml:space="preserve">1. Mở trang chủ
2. Nhấp vào nút Tài khoản
3. Nhập một số ký tự trên textbox mật khẩu </t>
  </si>
  <si>
    <t>Textbox mật khẩu hiển thị dấu chấm</t>
  </si>
  <si>
    <t>Xác minh các textbox với trình giữ chỗ "Email" và "Mật khẩu Go2Joy" được căn chỉnh đúng trên biểu mẫu đăng nhập Email.</t>
  </si>
  <si>
    <t xml:space="preserve">1. Mở trang chủ
2. Nhấp vào nút Tài khoản
3. Nhấp vào tab " Email " </t>
  </si>
  <si>
    <t>Textbox có trình giữ chỗ "Email" và "Mật khẩu Go2Joy" được căn chỉnh đúng cách.</t>
  </si>
  <si>
    <t>Xác minh mật khẩu textbox hiển thị dấu chấm trên biểu mẫu Đăng nhập email.</t>
  </si>
  <si>
    <t xml:space="preserve">1. Mở trang chủ
2. Nhấp vào nút Tài khoản
3. Nhấp vào tab " Email "
4. Nhập một số ký tự trên textbox mật khẩu </t>
  </si>
  <si>
    <t>LỌC VÀ ĐẶT PHÒNG</t>
  </si>
  <si>
    <t>Xác minh rằng Textbox có trình giữ chỗ “Tỉnh/Thành phố” được căn chỉnh chính xác trên biểu mẫu Vị trí.</t>
  </si>
  <si>
    <t xml:space="preserve">1. Mở trang chủ
2. Nhấp vào trường vị trí </t>
  </si>
  <si>
    <t>Textbox có trình giữ chỗ “Tỉnh/ Thành phố” được căn chỉnh chính xác trên biểu mẫu chọn vị trí của bạn.</t>
  </si>
  <si>
    <t>Nhập các ký tự để chọn vị trí</t>
  </si>
  <si>
    <t xml:space="preserve">1. Mở trang chủ
2. Nhấp vào trường vị trí
3. Nhập ký tự Ví dụ: Hà Nội </t>
  </si>
  <si>
    <t>Đã chọn vị trí vừa nhập</t>
  </si>
  <si>
    <t>Xác minh nút ENTER trên bàn phím được thực thi khi chọn vị trí</t>
  </si>
  <si>
    <t>1. Mở trang chủ
2. Nhấp vào trường vị trí
3. Nhập ký tự Ví dụ: Hà Nội 
4. Nhấn nút ENTER</t>
  </si>
  <si>
    <t>Xác minh vị trí khi nhấp vào nút 'Tìm vị trí của tôi'</t>
  </si>
  <si>
    <t xml:space="preserve">1. Mở trang chủ
2. Nhấp vào nút 'Tìm vị trí của tôi' </t>
  </si>
  <si>
    <t>Hiện vị trí hiện tại của người dùng</t>
  </si>
  <si>
    <t>Không xuất hiện các bộ sưu tập biểu tượng mới khi bấm vào nút mũi tên đang bị vô hiệu hoá</t>
  </si>
  <si>
    <t>1. Mở trang chủ
2. Nhấp vào nút mũi tên trái</t>
  </si>
  <si>
    <t>Các bộ sưu tập biểu tượng được kéo qua bên trái</t>
  </si>
  <si>
    <t>Xác minh Thanh tìm kiếm với trình giữ chỗ "Nhập tên khách sạn bạn cần tìm" được căn chỉnh chính xác.</t>
  </si>
  <si>
    <t>1. Mở trang chủ</t>
  </si>
  <si>
    <t>Thanh tìm kiếm với trình giữ chỗ "Nhập tên khách sạn bạn cần tìm" được căn chỉnh chính xác.</t>
  </si>
  <si>
    <t>Xác minh thanh Search có biểu tượng kính lúp</t>
  </si>
  <si>
    <t>Hiện biểu tượng kính lúp trên thanh tìm kiếm</t>
  </si>
  <si>
    <t>Xác minh người dùng có thể tìm thấy tên khách sạn tồn tại</t>
  </si>
  <si>
    <t xml:space="preserve">1. Mở trang chủ
2. Nhập tên trên thanh Tìm kiếm Ví dụ: Chill </t>
  </si>
  <si>
    <t>Các khách sạn được đề xuất xuất hiện trên menu thả xuống</t>
  </si>
  <si>
    <t>Xác minh người dùng không thể tìm thấy tên khách sạn không tồn tại</t>
  </si>
  <si>
    <t xml:space="preserve">1. Mở trang chủ
2. Nhập tên trên thanh Tìm kiếm Ví dụ: hfdfhj </t>
  </si>
  <si>
    <t>Xuất hiện dòng chữ "Xin lỗi, không tìm thấy"</t>
  </si>
  <si>
    <t>Xác minh nút ENTER phải hoạt động bình thường sau khi nhập vào trường Tìm kiếm.</t>
  </si>
  <si>
    <t xml:space="preserve">1. Mở trang chủ
2. Nhập tên trên thanh Tìm kiếm Ví dụ: Chill
3. Nhấn ENTER từ bàn phím </t>
  </si>
  <si>
    <t>Tìm kiếm thành công</t>
  </si>
  <si>
    <t>Trang xác minh khách sạn phải có tiêu đề phù hợp.</t>
  </si>
  <si>
    <t>Trang khách sạn phải có tiêu đề phù hợp.</t>
  </si>
  <si>
    <t>Xác minh đúng tên khách sạn đã tìm kiếm .</t>
  </si>
  <si>
    <t xml:space="preserve">1. Mở trang chủ
2. Nhập tên trên thanh Tìm kiếm Ví dụ: CHILL HOUSE 2 HOMESTAY
3. Nhấn ENTER từ bàn phím </t>
  </si>
  <si>
    <t>Tên khách sạn đúng với tìm kiếm</t>
  </si>
  <si>
    <t>ƯU ĐÃI</t>
  </si>
  <si>
    <t>Xác minh trang ưu đãi phải có tiêu đề phù hợp.</t>
  </si>
  <si>
    <t xml:space="preserve">1. Mở trang chủ
2. Nhấp vào nút " Ưu đãi " </t>
  </si>
  <si>
    <t>Trang ưu đãi phải có tiêu đề phù hợp.</t>
  </si>
  <si>
    <t>Xác minh nút 'Ưu đãi' đổi màu khi di con trỏ chuột vào</t>
  </si>
  <si>
    <t xml:space="preserve">1. Mở trang chủ
2. Di con trỏ vào nút " Ưu đãi " </t>
  </si>
  <si>
    <t>Nút 'Ưu đãi' chuyển màu cam</t>
  </si>
  <si>
    <t>Con trỏ thay đổi khi di chuột vào nút 'Ưu đãi'</t>
  </si>
  <si>
    <t>Con trỏ chuột thay đổi thành dạng handpoint</t>
  </si>
  <si>
    <t>Xác minh tiêu đề của nút áp dụng khi người dùng đã đăng nhập</t>
  </si>
  <si>
    <t xml:space="preserve">1. Mở trang chủ
2. Nhấp vào nút " Ưu đãi "
3. Nhấp vào nút "Áp dụng ngay" (Đăng nhập vào trang nếu chưa)
4. Chọn chi nhánh của khách sạn </t>
  </si>
  <si>
    <t>Tiêu đề của trang phải phù hợp.</t>
  </si>
  <si>
    <t>Xác minh chi nhánh của khách sạn khi người dùng đã đăng nhập</t>
  </si>
  <si>
    <t>Chi nhánh của khách sạn phải có vị trí thích hợp</t>
  </si>
  <si>
    <t>Xác minh thông tin của coupon sau khi nhấp vào nút "Áp dụng ngay".</t>
  </si>
  <si>
    <t>1. Mở trang chủ
2. Nhấp vào nút " Ưu đãi "
3. Nhấp vào nút " Áp dụng ngay " (Đăng nhập vào trang nếu chưa)</t>
  </si>
  <si>
    <t>Chuyển hướng đến trang thông tin của phiếu giảm giá</t>
  </si>
  <si>
    <t>Yêu cầu đăng nhập khi nhấp vào "Áp dụng ngay"</t>
  </si>
  <si>
    <t xml:space="preserve">1. Chưa đăng nhập -&gt; mở trang chủ
2. Nhấp vào nút " Ưu đãi "
3. Nhấp vào nút " Áp dụng ngay " </t>
  </si>
  <si>
    <t>Chuyển hướng đến trang Đăng nhập</t>
  </si>
  <si>
    <t>TÀI KHOẢN</t>
  </si>
  <si>
    <t>Xác minh Tên và Số điện thoại.</t>
  </si>
  <si>
    <t xml:space="preserve">1. Mở trang chủ (Đã đăng nhập)
2. Nhấp vào nút Tài khoản
3. Nhấp vào nút "Hồ sơ của tôi" </t>
  </si>
  <si>
    <t>Xác minh thành công</t>
  </si>
  <si>
    <t>Xác minh trang Hồ sơ phải có tiêu đề phù hợp.</t>
  </si>
  <si>
    <t>Trang Hồ sơ có tiêu đề phù hợp.</t>
  </si>
  <si>
    <t>x</t>
  </si>
  <si>
    <t>Xác minh trang Hồ sơ phải có tên trang phù hợp.</t>
  </si>
  <si>
    <t xml:space="preserve">1. Mở trang chủ (Đã đăng nhập)
2. Nhấp vào nút Tài khoản.
3. Nhấp vào nút "Hồ sơ của tôi" </t>
  </si>
  <si>
    <t>Tên của trang hồ sơ phù hợp</t>
  </si>
  <si>
    <t>Người dùng đã đăng nhập có thể cập nhật đúng thông tin cá nhân</t>
  </si>
  <si>
    <t xml:space="preserve">1. Mở trang chủ (Đã đăng nhập)
2. Nhấp vào nút "Tài khoản"
3. Nhấp vào nút "Hồ sơ của tôi"
4. Điền thông tin đúng
5. Nhấp vào nút 'Cập nhật' </t>
  </si>
  <si>
    <t>*Cập nhật thành công
*Xuất hiện thông báo người dùng đã cập nhật thành công</t>
  </si>
  <si>
    <t>Người dùng đã đăng nhập có thể thay đổi mật khẩu</t>
  </si>
  <si>
    <t xml:space="preserve">1. Mở trang chủ (Đã đăng nhập)
2. Nhấp vào nút "Tài khoản"
3. Nhấp vào nút "Hồ sơ của tôi"
4. Điền đúng thông tin 
5. Nhấp vào nút 'Đổi mật khẩu' </t>
  </si>
  <si>
    <t>Thay đổi mật khẩu thành công.</t>
  </si>
  <si>
    <t>Xác minh tiêu đề của thông báo đổi mật khẩu thành công phải phù hợp</t>
  </si>
  <si>
    <t xml:space="preserve">Thông báo phù hợp </t>
  </si>
  <si>
    <t>Người dùng đã đăng nhập có thể đăng xuất</t>
  </si>
  <si>
    <t xml:space="preserve">1. Mở trang chủ (Đã đăng nhập)
2. Nhấp vào nút "Tài khoản"
3. Nhấp vào nút 'Đăng xuất'
</t>
  </si>
  <si>
    <t>Đăng xuất thành công</t>
  </si>
  <si>
    <t>BÌNH LUẬN VÀ ĐÁNH GIÁ</t>
  </si>
  <si>
    <t>Xác minh trang hiện tại.</t>
  </si>
  <si>
    <t>1. Mở trang chủ (đã đăng nhập).                                2. Nhấp vào phòng khách sạn.                                     3. Nhấp vào bình luận.</t>
  </si>
  <si>
    <t>Bình luận hiển thị thành công</t>
  </si>
  <si>
    <t>Xác minh nút xem tất cả bình luận.</t>
  </si>
  <si>
    <t>1. Mở trang chủ (đã đăng nhập).                               2. Nhấp vào phòng khách sạn.                                3. Nhấp vào bình luận.                                           4. Nhấp vào xem tất cả bình luận.</t>
  </si>
  <si>
    <t>Xuất hiện popup, tải được dữ liệu.</t>
  </si>
  <si>
    <t>Xác minh nút thích bình luận.</t>
  </si>
  <si>
    <t>1. Mở trang chủ (đã đăng nhập).                               2. Nhấp vào phòng khách sạn.                                3. Nhấp vào bình luận.                                           4. Nhấp vào nút thích bình luận (1 click).                  5. Nhấp tiếp vào bình luận đã thích.</t>
  </si>
  <si>
    <t>Bỏ thích bình luận thành công.</t>
  </si>
  <si>
    <t>Xác minh sau khi thích một bình luận và tải lại trang không bị mất đã thích</t>
  </si>
  <si>
    <t>1. Mở trang chủ (đã đăng nhập).                               2. Nhấp vào phòng khách sạn.                                3. Nhấp vào bình luận.                                           4. Nhấp vào nút thích bình luận (1 click).                  5. Tải lại trang.</t>
  </si>
  <si>
    <t>Xác minh đã thích vẫn còn.</t>
  </si>
  <si>
    <t>Đánh giá khi đăng nhập.</t>
  </si>
  <si>
    <t xml:space="preserve">1. Mở trang chủ (đã đăng nhập).                               2. Nhấp vào phòng khách sạn.   </t>
  </si>
  <si>
    <t>Đánh giá được.</t>
  </si>
  <si>
    <t>Bình luận khi đã đăng nhập.</t>
  </si>
  <si>
    <t xml:space="preserve">1. Mở trang chủ (đã đăng nhập).                               2. Nhấp vào phòng khách sạn.                               </t>
  </si>
  <si>
    <t>Xuất hiện form để comment bình luận.</t>
  </si>
  <si>
    <t>Xác minh nút thích khi vào chi tiết trên slide.</t>
  </si>
  <si>
    <t>1. Mở trang chủ (chưa đăng nhập).                               2. Nhấp vào phòng khách sạn.                                                            4. Nhấp vào nút thích.</t>
  </si>
  <si>
    <t xml:space="preserve">Trang chuyển hướng tới trang login. </t>
  </si>
  <si>
    <t>Xác minh trượt được bình luận.</t>
  </si>
  <si>
    <t>1. Mở trang chủ (chưa đăng nhập).                               2. Nhấp vào phòng khách sạn.                                                            4. Nhấn giữ chuốt và kéo sang trái/phải trên bình luận</t>
  </si>
  <si>
    <t>Xác minh slide trượt thành công.</t>
  </si>
  <si>
    <t>ĐĂNG XUẤT</t>
  </si>
  <si>
    <t>Người dùng chưa đăng nhập không thể đăng xuất</t>
  </si>
  <si>
    <t xml:space="preserve">1. Mở trang chủ 
2. Nhấp vào nút "Tài khoản"
</t>
  </si>
  <si>
    <t>Người dùng đã đăng xuất không thể quay lại trang Account</t>
  </si>
  <si>
    <t xml:space="preserve">1. Mở trang chủ (Đã đăng nhập)
2. Nhấp vào nút "Tài khoản"
3. Nhấp vào nút 'Đăng xuất'
4. Quay lại trang
</t>
  </si>
  <si>
    <t>Chuyển hướng tới trang chủ</t>
  </si>
  <si>
    <t>Người dùng mở 2 Tab, đăng xuất Tab cũ và chuyển hướng tới trang Hồ sơ ở Tab mới</t>
  </si>
  <si>
    <t xml:space="preserve">1. Mở trang chủ (Đã đăng nhập)
2. Mở Tab mới, chuyển về Tab cũ
3. Nhấp vào nút "Tài khoản"
4. Nhấp vào nút 'Đăng xuất'
5. Chuyển sang Tab mới, chuyển tới trang Tài khoản bằng link https://go2joy.vn/vi-vn/profile
</t>
  </si>
  <si>
    <t>Tab mới chuyển hướng tới trang chủ</t>
  </si>
  <si>
    <t>Người dùng đã đăng xuất có thể đặt phòng nhanh</t>
  </si>
  <si>
    <t>1. Mở trang chủ (Đã đăng nhập)
2. Nhấp vào nút "Tài khoản"
3. Nhấp vào nút 'Đăng xuất'
4. Nhấp vào nút 'Trang chủ'
5. Chọn khách sạn, chọn phòng ví dụ:Lồng đèn đỏ hotel/room: Vip 01
6. Nhấp vào nút 'Đặt phòng ngay'
7. Điền số điện thoại và nhấp vào nút'Đăt phòng nhanh'</t>
  </si>
  <si>
    <t>Chuyển hướng tới trang thanh toán</t>
  </si>
  <si>
    <t>QUY TRÌNH</t>
  </si>
  <si>
    <t xml:space="preserve">Xác minh thay đổi ngôn ngữ </t>
  </si>
  <si>
    <t>1. Mở trang chủ 
2. Chọn tỉnh/ thành phố
3. Nhấp vào biểu tượng quốc gia
4. Chọn ngôn ngữ</t>
  </si>
  <si>
    <t>Trang web chuyển đổi ngôn ngữ thành tiếng anh/việt tương ứng</t>
  </si>
  <si>
    <t>Đặt phòng nhanh qua các bộ sưu tập biểu tượng</t>
  </si>
  <si>
    <t>1. Mở trang chủ 
2. Chọn tỉnh/ thành phố, ví dụ : Hà Nội
3. Chọn 1 trong các biểu tượng, ví dụ 'Gần bạn'
4. Chọn khách sạn, lựa chọn loại phòng
5. Nhấp vào nút 'Chọn phòng'
6. Nhấp vào nút 'Đặt phòng ngay'
7. Nhấp nút 'Huỷ'</t>
  </si>
  <si>
    <t>Người dùng đặt phòng qua bộ sưu tập biểu tượng</t>
  </si>
  <si>
    <t>Đặt phòng nhanh qua các đề xuất khách sạn</t>
  </si>
  <si>
    <t>1. Mở trang chủ 
2. Chọn tỉnh/ thành phố ,ví dụ : Hà Nội
3. Chọn khách sạn 
4. Lựa chọn loại phòng
5. Nhấp vào nút 'Chọn phòng'
6. Nhấp vào nút 'Đặt phòng ngay'
7. Nhấp nút 'Huỷ'</t>
  </si>
  <si>
    <t>Người dùng đặt phòng nhanh qua các đề xuất khách sạn</t>
  </si>
  <si>
    <t>Đặt phòng qua chương trình khuyến mại</t>
  </si>
  <si>
    <t>1. Mở trang chủ (Đăng nhập)
2. Nhấp vào nút 'Ưu đãi'
3. Lưa chọn phiếu ưu đãi, nhấp vào nút 'Áp dụng ngay'
4. Lựa chọn các khách sạn có ưu đãi được đề xuất
5. Nhấp vào nút 'Chọn phòng'
6. Nhấp vào nút 'Đặt phòng ngay'
7. Nhấp nút 'Huỷ'</t>
  </si>
  <si>
    <t>Người dùng đặt phòng qua các phiếu ưu đãi</t>
  </si>
  <si>
    <t>&lt;</t>
  </si>
  <si>
    <t>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</si>
</sst>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20">
    <font>
      <sz val="11"/>
      <name val="ＭＳ Ｐゴシック"/>
      <charset val="128"/>
    </font>
    <font>
      <sz val="9"/>
      <name val="ＭＳ ゴシック"/>
      <family val="3"/>
      <charset val="128"/>
    </font>
    <font>
      <sz val="10"/>
      <name val="Tahoma"/>
      <family val="2"/>
    </font>
    <font>
      <b/>
      <sz val="20"/>
      <color indexed="8"/>
      <name val="Tahoma"/>
      <family val="2"/>
    </font>
    <font>
      <b/>
      <sz val="10"/>
      <color indexed="60"/>
      <name val="Tahoma"/>
      <family val="2"/>
    </font>
    <font>
      <i/>
      <sz val="10"/>
      <color indexed="17"/>
      <name val="Tahoma"/>
      <family val="2"/>
    </font>
    <font>
      <b/>
      <sz val="10"/>
      <color indexed="9"/>
      <name val="Tahoma"/>
      <family val="2"/>
    </font>
    <font>
      <b/>
      <sz val="10"/>
      <color indexed="8"/>
      <name val="Tahoma"/>
      <family val="2"/>
    </font>
    <font>
      <b/>
      <sz val="10"/>
      <color indexed="10"/>
      <name val="Tahoma"/>
      <family val="2"/>
    </font>
    <font>
      <b/>
      <sz val="10"/>
      <name val="Tahoma"/>
      <family val="2"/>
    </font>
    <font>
      <u/>
      <sz val="10"/>
      <color indexed="12"/>
      <name val="Tahoma"/>
      <family val="2"/>
    </font>
    <font>
      <u/>
      <sz val="11"/>
      <color indexed="12"/>
      <name val="ＭＳ Ｐゴシック"/>
      <family val="3"/>
      <charset val="128"/>
    </font>
    <font>
      <sz val="10"/>
      <color indexed="10"/>
      <name val="Tahoma"/>
      <family val="2"/>
    </font>
    <font>
      <sz val="10"/>
      <color indexed="8"/>
      <name val="Tahoma"/>
      <family val="2"/>
    </font>
    <font>
      <b/>
      <sz val="8"/>
      <color indexed="8"/>
      <name val="Times New Roman"/>
      <family val="1"/>
    </font>
    <font>
      <sz val="10"/>
      <color indexed="9"/>
      <name val="Tahoma"/>
      <family val="2"/>
    </font>
    <font>
      <b/>
      <sz val="10"/>
      <color indexed="12"/>
      <name val="Tahoma"/>
      <family val="2"/>
    </font>
    <font>
      <sz val="11"/>
      <name val="ＭＳ Ｐゴシック"/>
      <charset val="128"/>
    </font>
    <font>
      <sz val="10"/>
      <color rgb="FF444444"/>
      <name val="Tahoma"/>
    </font>
    <font>
      <sz val="10"/>
      <color rgb="FF000000"/>
      <name val="Tahoma"/>
      <charset val="1"/>
    </font>
  </fonts>
  <fills count="6">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s>
  <borders count="55">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right/>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diagonal/>
    </border>
    <border>
      <left/>
      <right/>
      <top style="thin">
        <color indexed="8"/>
      </top>
      <bottom style="thin">
        <color indexed="8"/>
      </bottom>
      <diagonal/>
    </border>
    <border>
      <left style="medium">
        <color indexed="8"/>
      </left>
      <right/>
      <top style="thin">
        <color indexed="8"/>
      </top>
      <bottom style="medium">
        <color indexed="8"/>
      </bottom>
      <diagonal/>
    </border>
    <border>
      <left/>
      <right/>
      <top style="thin">
        <color indexed="8"/>
      </top>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8"/>
      </left>
      <right style="thin">
        <color indexed="8"/>
      </right>
      <top/>
      <bottom/>
      <diagonal/>
    </border>
    <border>
      <left style="thin">
        <color indexed="8"/>
      </left>
      <right style="thin">
        <color indexed="8"/>
      </right>
      <top/>
      <bottom style="thin">
        <color rgb="FF000000"/>
      </bottom>
      <diagonal/>
    </border>
    <border>
      <left style="thin">
        <color indexed="64"/>
      </left>
      <right style="thin">
        <color indexed="64"/>
      </right>
      <top/>
      <bottom style="thin">
        <color rgb="FF000000"/>
      </bottom>
      <diagonal/>
    </border>
    <border>
      <left/>
      <right/>
      <top style="thin">
        <color rgb="FF000000"/>
      </top>
      <bottom style="thin">
        <color rgb="FF000000"/>
      </bottom>
      <diagonal/>
    </border>
    <border>
      <left style="thin">
        <color indexed="8"/>
      </left>
      <right/>
      <top/>
      <bottom style="thin">
        <color rgb="FF000000"/>
      </bottom>
      <diagonal/>
    </border>
    <border>
      <left style="thin">
        <color indexed="8"/>
      </left>
      <right style="thin">
        <color indexed="8"/>
      </right>
      <top/>
      <bottom style="thin">
        <color indexed="8"/>
      </bottom>
      <diagonal/>
    </border>
    <border>
      <left/>
      <right style="thin">
        <color rgb="FF000000"/>
      </right>
      <top style="thin">
        <color rgb="FF000000"/>
      </top>
      <bottom/>
      <diagonal/>
    </border>
    <border>
      <left/>
      <right style="thin">
        <color indexed="8"/>
      </right>
      <top style="thin">
        <color indexed="8"/>
      </top>
      <bottom/>
      <diagonal/>
    </border>
    <border>
      <left/>
      <right/>
      <top style="thin">
        <color rgb="FF000000"/>
      </top>
      <bottom/>
      <diagonal/>
    </border>
  </borders>
  <cellStyleXfs count="5">
    <xf numFmtId="0" fontId="0" fillId="0" borderId="0"/>
    <xf numFmtId="0" fontId="11" fillId="0" borderId="0" applyNumberFormat="0" applyFill="0" applyBorder="0" applyAlignment="0" applyProtection="0"/>
    <xf numFmtId="0" fontId="17" fillId="0" borderId="0"/>
    <xf numFmtId="0" fontId="17" fillId="0" borderId="0"/>
    <xf numFmtId="0" fontId="1" fillId="0" borderId="0"/>
  </cellStyleXfs>
  <cellXfs count="168">
    <xf numFmtId="0" fontId="0" fillId="0" borderId="0" xfId="0"/>
    <xf numFmtId="1" fontId="4" fillId="2" borderId="2" xfId="0" applyNumberFormat="1" applyFont="1" applyFill="1" applyBorder="1" applyAlignment="1">
      <alignment vertical="center" wrapText="1"/>
    </xf>
    <xf numFmtId="0" fontId="2" fillId="2" borderId="0" xfId="0" applyFont="1" applyFill="1"/>
    <xf numFmtId="0" fontId="4" fillId="2" borderId="2" xfId="0" applyFont="1" applyFill="1" applyBorder="1" applyAlignment="1">
      <alignment horizontal="left" vertical="center"/>
    </xf>
    <xf numFmtId="1" fontId="2" fillId="2" borderId="0" xfId="0" applyNumberFormat="1" applyFont="1" applyFill="1"/>
    <xf numFmtId="0" fontId="2" fillId="2" borderId="0" xfId="0" applyFont="1" applyFill="1" applyAlignment="1">
      <alignment horizontal="left"/>
    </xf>
    <xf numFmtId="1" fontId="2" fillId="2" borderId="0" xfId="0" applyNumberFormat="1" applyFont="1" applyFill="1" applyProtection="1">
      <protection hidden="1"/>
    </xf>
    <xf numFmtId="0" fontId="3" fillId="2" borderId="0" xfId="0" applyFont="1" applyFill="1" applyAlignment="1">
      <alignment horizontal="left"/>
    </xf>
    <xf numFmtId="0" fontId="7" fillId="2" borderId="0" xfId="0" applyFont="1" applyFill="1" applyAlignment="1">
      <alignment horizontal="left"/>
    </xf>
    <xf numFmtId="0" fontId="8" fillId="2" borderId="0" xfId="0" applyFont="1" applyFill="1" applyAlignment="1">
      <alignment horizontal="left"/>
    </xf>
    <xf numFmtId="0" fontId="2" fillId="2" borderId="0" xfId="0" applyFont="1" applyFill="1" applyAlignment="1">
      <alignment wrapText="1"/>
    </xf>
    <xf numFmtId="1" fontId="4" fillId="2" borderId="0" xfId="0" applyNumberFormat="1" applyFont="1" applyFill="1"/>
    <xf numFmtId="0" fontId="2" fillId="2" borderId="0" xfId="0" applyFont="1" applyFill="1" applyAlignment="1">
      <alignment vertical="center"/>
    </xf>
    <xf numFmtId="1" fontId="2" fillId="2" borderId="0" xfId="0" applyNumberFormat="1" applyFont="1" applyFill="1" applyAlignment="1" applyProtection="1">
      <alignment vertical="center"/>
      <protection hidden="1"/>
    </xf>
    <xf numFmtId="0" fontId="2" fillId="2" borderId="0" xfId="0" applyFont="1" applyFill="1" applyAlignment="1">
      <alignment horizontal="left" vertical="center"/>
    </xf>
    <xf numFmtId="0" fontId="9" fillId="2" borderId="0" xfId="0" applyFont="1" applyFill="1" applyAlignment="1">
      <alignment horizontal="center"/>
    </xf>
    <xf numFmtId="1" fontId="6" fillId="4" borderId="4" xfId="0" applyNumberFormat="1" applyFont="1" applyFill="1" applyBorder="1" applyAlignment="1">
      <alignment horizontal="center" vertical="center"/>
    </xf>
    <xf numFmtId="0" fontId="6" fillId="4" borderId="5"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6" xfId="0" applyFont="1" applyFill="1" applyBorder="1" applyAlignment="1">
      <alignment horizontal="center" vertical="center"/>
    </xf>
    <xf numFmtId="1" fontId="2" fillId="2" borderId="7" xfId="0" applyNumberFormat="1" applyFont="1" applyFill="1" applyBorder="1" applyAlignment="1">
      <alignment vertical="center"/>
    </xf>
    <xf numFmtId="49" fontId="2" fillId="2" borderId="8" xfId="0" applyNumberFormat="1" applyFont="1" applyFill="1" applyBorder="1" applyAlignment="1">
      <alignment horizontal="left" vertical="center"/>
    </xf>
    <xf numFmtId="0" fontId="10" fillId="2" borderId="8" xfId="1" applyNumberFormat="1" applyFont="1" applyFill="1" applyBorder="1" applyAlignment="1" applyProtection="1">
      <alignment horizontal="left" vertical="center"/>
    </xf>
    <xf numFmtId="0" fontId="2" fillId="2" borderId="9" xfId="0" applyFont="1" applyFill="1" applyBorder="1" applyAlignment="1">
      <alignment horizontal="left" vertical="center"/>
    </xf>
    <xf numFmtId="0" fontId="2" fillId="2" borderId="8" xfId="0" applyFont="1" applyFill="1" applyBorder="1" applyAlignment="1">
      <alignment horizontal="left" vertical="center"/>
    </xf>
    <xf numFmtId="1" fontId="2" fillId="2" borderId="10" xfId="0" applyNumberFormat="1" applyFont="1" applyFill="1" applyBorder="1" applyAlignment="1">
      <alignment vertical="center"/>
    </xf>
    <xf numFmtId="49" fontId="2" fillId="2" borderId="11" xfId="0" applyNumberFormat="1" applyFont="1" applyFill="1" applyBorder="1" applyAlignment="1">
      <alignment horizontal="left" vertical="center"/>
    </xf>
    <xf numFmtId="0" fontId="2" fillId="2" borderId="11" xfId="0" applyFont="1" applyFill="1" applyBorder="1" applyAlignment="1">
      <alignment horizontal="left" vertical="center"/>
    </xf>
    <xf numFmtId="0" fontId="2" fillId="2" borderId="12" xfId="0" applyFont="1" applyFill="1" applyBorder="1" applyAlignment="1">
      <alignment horizontal="left" vertical="center"/>
    </xf>
    <xf numFmtId="0" fontId="12" fillId="2" borderId="0" xfId="0" applyFont="1" applyFill="1"/>
    <xf numFmtId="0" fontId="13" fillId="2" borderId="14" xfId="0" applyFont="1" applyFill="1" applyBorder="1"/>
    <xf numFmtId="0" fontId="13" fillId="2" borderId="14" xfId="0" applyFont="1" applyFill="1" applyBorder="1" applyAlignment="1">
      <alignment wrapText="1"/>
    </xf>
    <xf numFmtId="0" fontId="2" fillId="2" borderId="14" xfId="0" applyFont="1" applyFill="1" applyBorder="1" applyAlignment="1">
      <alignment wrapText="1"/>
    </xf>
    <xf numFmtId="0" fontId="9" fillId="2" borderId="0" xfId="0" applyFont="1" applyFill="1" applyAlignment="1">
      <alignment wrapText="1"/>
    </xf>
    <xf numFmtId="0" fontId="12" fillId="2" borderId="0" xfId="0" applyFont="1" applyFill="1" applyAlignment="1">
      <alignment wrapText="1"/>
    </xf>
    <xf numFmtId="0" fontId="13" fillId="2" borderId="0" xfId="0" applyFont="1" applyFill="1"/>
    <xf numFmtId="0" fontId="9" fillId="2" borderId="15" xfId="3" applyFont="1" applyFill="1" applyBorder="1" applyAlignment="1">
      <alignment horizontal="left" wrapText="1"/>
    </xf>
    <xf numFmtId="0" fontId="9" fillId="2" borderId="16" xfId="3" applyFont="1" applyFill="1" applyBorder="1" applyAlignment="1">
      <alignment horizontal="left" wrapText="1"/>
    </xf>
    <xf numFmtId="0" fontId="7" fillId="2" borderId="0" xfId="0" applyFont="1" applyFill="1"/>
    <xf numFmtId="0" fontId="7" fillId="2" borderId="16" xfId="0" applyFont="1" applyFill="1" applyBorder="1" applyAlignment="1">
      <alignment horizontal="center" vertical="center"/>
    </xf>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2" fillId="2" borderId="0" xfId="0" applyFont="1" applyFill="1" applyAlignment="1">
      <alignment horizontal="center" wrapText="1"/>
    </xf>
    <xf numFmtId="0" fontId="12" fillId="2" borderId="0" xfId="0" applyFont="1" applyFill="1" applyAlignment="1">
      <alignment horizontal="center" wrapText="1"/>
    </xf>
    <xf numFmtId="0" fontId="13" fillId="2" borderId="17" xfId="0" applyFont="1" applyFill="1" applyBorder="1" applyAlignment="1">
      <alignment horizontal="center" vertical="center"/>
    </xf>
    <xf numFmtId="0" fontId="13" fillId="2" borderId="18" xfId="0" applyFont="1" applyFill="1" applyBorder="1" applyAlignment="1">
      <alignment horizontal="center" vertical="center"/>
    </xf>
    <xf numFmtId="0" fontId="13" fillId="2" borderId="19" xfId="0" applyFont="1" applyFill="1" applyBorder="1" applyAlignment="1">
      <alignment horizontal="center" vertical="center"/>
    </xf>
    <xf numFmtId="0" fontId="13" fillId="2" borderId="0" xfId="0" applyFont="1" applyFill="1" applyAlignment="1">
      <alignment horizontal="center" wrapText="1"/>
    </xf>
    <xf numFmtId="0" fontId="6" fillId="3" borderId="2" xfId="3" applyFont="1" applyFill="1" applyBorder="1" applyAlignment="1">
      <alignment horizontal="center" vertical="center" wrapText="1"/>
    </xf>
    <xf numFmtId="0" fontId="6" fillId="3" borderId="20" xfId="3" applyFont="1" applyFill="1" applyBorder="1" applyAlignment="1">
      <alignment horizontal="center" vertical="center" wrapText="1"/>
    </xf>
    <xf numFmtId="0" fontId="8" fillId="2" borderId="0" xfId="3" applyFont="1" applyFill="1" applyAlignment="1">
      <alignment horizontal="center" vertical="center" wrapText="1"/>
    </xf>
    <xf numFmtId="0" fontId="9" fillId="5" borderId="1" xfId="3" applyFont="1" applyFill="1" applyBorder="1" applyAlignment="1">
      <alignment horizontal="left" vertical="center"/>
    </xf>
    <xf numFmtId="0" fontId="9" fillId="5" borderId="21" xfId="3" applyFont="1" applyFill="1" applyBorder="1" applyAlignment="1">
      <alignment horizontal="left" vertical="center"/>
    </xf>
    <xf numFmtId="0" fontId="9" fillId="5" borderId="3" xfId="3" applyFont="1" applyFill="1" applyBorder="1" applyAlignment="1">
      <alignment horizontal="left" vertical="center"/>
    </xf>
    <xf numFmtId="0" fontId="8" fillId="2" borderId="0" xfId="3" applyFont="1" applyFill="1" applyAlignment="1">
      <alignment horizontal="left" vertical="center"/>
    </xf>
    <xf numFmtId="0" fontId="2" fillId="2" borderId="2" xfId="3" applyFont="1" applyFill="1" applyBorder="1" applyAlignment="1">
      <alignment vertical="top" wrapText="1"/>
    </xf>
    <xf numFmtId="0" fontId="2" fillId="2" borderId="2" xfId="0" applyFont="1" applyFill="1" applyBorder="1" applyAlignment="1">
      <alignment vertical="top" wrapText="1"/>
    </xf>
    <xf numFmtId="0" fontId="12" fillId="2" borderId="0" xfId="0" applyFont="1" applyFill="1" applyAlignment="1">
      <alignment vertical="top" wrapText="1"/>
    </xf>
    <xf numFmtId="0" fontId="13" fillId="2" borderId="2" xfId="0" applyFont="1" applyFill="1" applyBorder="1" applyAlignment="1">
      <alignment horizontal="left" vertical="top" wrapText="1"/>
    </xf>
    <xf numFmtId="0" fontId="13" fillId="2" borderId="22" xfId="0" applyFont="1" applyFill="1" applyBorder="1" applyAlignment="1">
      <alignment horizontal="center" vertical="center"/>
    </xf>
    <xf numFmtId="0" fontId="13" fillId="2" borderId="2" xfId="0" applyFont="1" applyFill="1" applyBorder="1" applyAlignment="1">
      <alignment vertical="top" wrapText="1"/>
    </xf>
    <xf numFmtId="0" fontId="9" fillId="2" borderId="0" xfId="2" applyFont="1" applyFill="1"/>
    <xf numFmtId="0" fontId="2" fillId="2" borderId="0" xfId="2" applyFont="1" applyFill="1"/>
    <xf numFmtId="164" fontId="2" fillId="2" borderId="0" xfId="2" applyNumberFormat="1" applyFont="1" applyFill="1"/>
    <xf numFmtId="0" fontId="4" fillId="2" borderId="3" xfId="0" applyFont="1" applyFill="1" applyBorder="1" applyAlignment="1">
      <alignment horizontal="left"/>
    </xf>
    <xf numFmtId="0" fontId="2" fillId="2" borderId="3" xfId="0" applyFont="1" applyFill="1" applyBorder="1" applyAlignment="1">
      <alignment vertical="top"/>
    </xf>
    <xf numFmtId="0" fontId="4" fillId="2" borderId="2" xfId="0" applyFont="1" applyFill="1" applyBorder="1" applyAlignment="1">
      <alignment vertical="center"/>
    </xf>
    <xf numFmtId="0" fontId="5" fillId="2" borderId="3" xfId="0" applyFont="1" applyFill="1" applyBorder="1" applyAlignment="1">
      <alignment vertical="top"/>
    </xf>
    <xf numFmtId="0" fontId="4" fillId="2" borderId="0" xfId="0" applyFont="1" applyFill="1"/>
    <xf numFmtId="0" fontId="5" fillId="2" borderId="0" xfId="2" applyFont="1" applyFill="1"/>
    <xf numFmtId="0" fontId="2" fillId="2" borderId="24" xfId="0" applyFont="1" applyFill="1" applyBorder="1"/>
    <xf numFmtId="0" fontId="6" fillId="3" borderId="25" xfId="0" applyFont="1" applyFill="1" applyBorder="1" applyAlignment="1">
      <alignment horizontal="center"/>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13" xfId="0" applyFont="1" applyFill="1" applyBorder="1" applyAlignment="1">
      <alignment horizontal="center"/>
    </xf>
    <xf numFmtId="0" fontId="6" fillId="3" borderId="26" xfId="0" applyFont="1" applyFill="1" applyBorder="1" applyAlignment="1">
      <alignment horizontal="center" wrapText="1"/>
    </xf>
    <xf numFmtId="0" fontId="2" fillId="2" borderId="27" xfId="0" applyFont="1" applyFill="1" applyBorder="1" applyAlignment="1">
      <alignment horizontal="center"/>
    </xf>
    <xf numFmtId="0" fontId="2" fillId="2" borderId="8" xfId="0" applyFont="1" applyFill="1" applyBorder="1"/>
    <xf numFmtId="0" fontId="2" fillId="2" borderId="8" xfId="0" applyFont="1" applyFill="1" applyBorder="1" applyAlignment="1">
      <alignment horizontal="center"/>
    </xf>
    <xf numFmtId="0" fontId="2" fillId="2" borderId="28" xfId="0" applyFont="1" applyFill="1" applyBorder="1" applyAlignment="1">
      <alignment horizontal="center"/>
    </xf>
    <xf numFmtId="0" fontId="2" fillId="2" borderId="29" xfId="0" applyFont="1" applyFill="1" applyBorder="1" applyAlignment="1">
      <alignment horizontal="center"/>
    </xf>
    <xf numFmtId="0" fontId="15" fillId="3" borderId="30" xfId="0" applyFont="1" applyFill="1" applyBorder="1" applyAlignment="1">
      <alignment horizontal="center"/>
    </xf>
    <xf numFmtId="0" fontId="6" fillId="3" borderId="11" xfId="0" applyFont="1" applyFill="1" applyBorder="1"/>
    <xf numFmtId="0" fontId="15" fillId="3" borderId="11" xfId="0" applyFont="1" applyFill="1" applyBorder="1" applyAlignment="1">
      <alignment horizontal="center"/>
    </xf>
    <xf numFmtId="0" fontId="15" fillId="3" borderId="31" xfId="0" applyFont="1" applyFill="1" applyBorder="1" applyAlignment="1">
      <alignment horizontal="center"/>
    </xf>
    <xf numFmtId="0" fontId="2" fillId="2" borderId="0" xfId="0" applyFont="1" applyFill="1" applyAlignment="1">
      <alignment horizontal="center"/>
    </xf>
    <xf numFmtId="10" fontId="2" fillId="2" borderId="0" xfId="0" applyNumberFormat="1" applyFont="1" applyFill="1" applyAlignment="1">
      <alignment horizontal="center"/>
    </xf>
    <xf numFmtId="9" fontId="2" fillId="2" borderId="0" xfId="0" applyNumberFormat="1" applyFont="1" applyFill="1" applyAlignment="1">
      <alignment horizontal="center"/>
    </xf>
    <xf numFmtId="0" fontId="4" fillId="2" borderId="0" xfId="0" applyFont="1" applyFill="1" applyAlignment="1">
      <alignment horizontal="left"/>
    </xf>
    <xf numFmtId="2" fontId="16" fillId="2" borderId="0" xfId="0" applyNumberFormat="1" applyFont="1" applyFill="1" applyAlignment="1">
      <alignment horizontal="right" wrapText="1"/>
    </xf>
    <xf numFmtId="14" fontId="2" fillId="2" borderId="2" xfId="3" applyNumberFormat="1" applyFont="1" applyFill="1" applyBorder="1" applyAlignment="1">
      <alignment vertical="top" wrapText="1"/>
    </xf>
    <xf numFmtId="0" fontId="2" fillId="2" borderId="20" xfId="3" applyFont="1" applyFill="1" applyBorder="1" applyAlignment="1">
      <alignment vertical="top" wrapText="1"/>
    </xf>
    <xf numFmtId="0" fontId="9" fillId="5" borderId="36" xfId="3" applyFont="1" applyFill="1" applyBorder="1" applyAlignment="1">
      <alignment horizontal="left" vertical="center"/>
    </xf>
    <xf numFmtId="0" fontId="9" fillId="5" borderId="37" xfId="3" applyFont="1" applyFill="1" applyBorder="1" applyAlignment="1">
      <alignment horizontal="left" vertical="center"/>
    </xf>
    <xf numFmtId="0" fontId="9" fillId="5" borderId="38" xfId="3" applyFont="1" applyFill="1" applyBorder="1" applyAlignment="1">
      <alignment horizontal="left" vertical="center"/>
    </xf>
    <xf numFmtId="0" fontId="2" fillId="2" borderId="35" xfId="3" applyFont="1" applyFill="1" applyBorder="1" applyAlignment="1">
      <alignment vertical="top" wrapText="1"/>
    </xf>
    <xf numFmtId="0" fontId="13" fillId="2" borderId="35" xfId="0" applyFont="1" applyFill="1" applyBorder="1" applyAlignment="1">
      <alignment horizontal="left" vertical="top" wrapText="1"/>
    </xf>
    <xf numFmtId="0" fontId="2" fillId="2" borderId="39" xfId="3" applyFont="1" applyFill="1" applyBorder="1" applyAlignment="1">
      <alignment vertical="top" wrapText="1"/>
    </xf>
    <xf numFmtId="0" fontId="13" fillId="2" borderId="20" xfId="0" applyFont="1" applyFill="1" applyBorder="1" applyAlignment="1">
      <alignment horizontal="left" vertical="top" wrapText="1"/>
    </xf>
    <xf numFmtId="0" fontId="2" fillId="2" borderId="1" xfId="3" applyFont="1" applyFill="1" applyBorder="1" applyAlignment="1">
      <alignment vertical="top" wrapText="1"/>
    </xf>
    <xf numFmtId="0" fontId="13" fillId="2" borderId="20" xfId="0" applyFont="1" applyFill="1" applyBorder="1" applyAlignment="1">
      <alignment vertical="top" wrapText="1"/>
    </xf>
    <xf numFmtId="14" fontId="2" fillId="2" borderId="35" xfId="3" applyNumberFormat="1" applyFont="1" applyFill="1" applyBorder="1" applyAlignment="1">
      <alignment vertical="top" wrapText="1"/>
    </xf>
    <xf numFmtId="0" fontId="2" fillId="2" borderId="40" xfId="3" applyFont="1" applyFill="1" applyBorder="1" applyAlignment="1">
      <alignment vertical="top" wrapText="1"/>
    </xf>
    <xf numFmtId="0" fontId="13" fillId="2" borderId="40" xfId="0" applyFont="1" applyFill="1" applyBorder="1" applyAlignment="1">
      <alignment horizontal="left" vertical="top" wrapText="1"/>
    </xf>
    <xf numFmtId="14" fontId="2" fillId="2" borderId="40" xfId="3" applyNumberFormat="1" applyFont="1" applyFill="1" applyBorder="1" applyAlignment="1">
      <alignment vertical="top" wrapText="1"/>
    </xf>
    <xf numFmtId="0" fontId="2" fillId="2" borderId="40" xfId="0" applyFont="1" applyFill="1" applyBorder="1" applyAlignment="1">
      <alignment vertical="top" wrapText="1"/>
    </xf>
    <xf numFmtId="0" fontId="2" fillId="2" borderId="41" xfId="3" applyFont="1" applyFill="1" applyBorder="1" applyAlignment="1">
      <alignment vertical="top" wrapText="1"/>
    </xf>
    <xf numFmtId="0" fontId="13" fillId="2" borderId="41" xfId="0" applyFont="1" applyFill="1" applyBorder="1" applyAlignment="1">
      <alignment horizontal="left" vertical="top" wrapText="1"/>
    </xf>
    <xf numFmtId="14" fontId="2" fillId="2" borderId="41" xfId="3" applyNumberFormat="1" applyFont="1" applyFill="1" applyBorder="1" applyAlignment="1">
      <alignment vertical="top" wrapText="1"/>
    </xf>
    <xf numFmtId="0" fontId="2" fillId="2" borderId="41" xfId="0" applyFont="1" applyFill="1" applyBorder="1" applyAlignment="1">
      <alignment vertical="top" wrapText="1"/>
    </xf>
    <xf numFmtId="0" fontId="2" fillId="2" borderId="42" xfId="3" applyFont="1" applyFill="1" applyBorder="1" applyAlignment="1">
      <alignment vertical="top" wrapText="1"/>
    </xf>
    <xf numFmtId="0" fontId="2" fillId="2" borderId="43" xfId="3" applyFont="1" applyFill="1" applyBorder="1" applyAlignment="1">
      <alignment vertical="top" wrapText="1"/>
    </xf>
    <xf numFmtId="0" fontId="2" fillId="2" borderId="40" xfId="0" applyFont="1" applyFill="1" applyBorder="1"/>
    <xf numFmtId="0" fontId="2" fillId="2" borderId="23" xfId="3" applyFont="1" applyFill="1" applyBorder="1" applyAlignment="1">
      <alignment vertical="top" wrapText="1"/>
    </xf>
    <xf numFmtId="0" fontId="13" fillId="2" borderId="45" xfId="0" applyFont="1" applyFill="1" applyBorder="1" applyAlignment="1">
      <alignment horizontal="left" vertical="top" wrapText="1"/>
    </xf>
    <xf numFmtId="0" fontId="2" fillId="2" borderId="45" xfId="3" applyFont="1" applyFill="1" applyBorder="1" applyAlignment="1">
      <alignment vertical="top" wrapText="1"/>
    </xf>
    <xf numFmtId="14" fontId="2" fillId="2" borderId="45" xfId="3" applyNumberFormat="1" applyFont="1" applyFill="1" applyBorder="1" applyAlignment="1">
      <alignment vertical="top" wrapText="1"/>
    </xf>
    <xf numFmtId="0" fontId="2" fillId="2" borderId="20" xfId="0" applyFont="1" applyFill="1" applyBorder="1"/>
    <xf numFmtId="0" fontId="2" fillId="2" borderId="41" xfId="0" applyFont="1" applyFill="1" applyBorder="1"/>
    <xf numFmtId="0" fontId="13" fillId="2" borderId="42" xfId="0" applyFont="1" applyFill="1" applyBorder="1" applyAlignment="1">
      <alignment horizontal="left" vertical="top" wrapText="1"/>
    </xf>
    <xf numFmtId="14" fontId="2" fillId="2" borderId="42" xfId="3" applyNumberFormat="1" applyFont="1" applyFill="1" applyBorder="1" applyAlignment="1">
      <alignment vertical="top" wrapText="1"/>
    </xf>
    <xf numFmtId="0" fontId="2" fillId="2" borderId="46" xfId="3" applyFont="1" applyFill="1" applyBorder="1" applyAlignment="1">
      <alignment vertical="top" wrapText="1"/>
    </xf>
    <xf numFmtId="0" fontId="13" fillId="2" borderId="46" xfId="0" applyFont="1" applyFill="1" applyBorder="1" applyAlignment="1">
      <alignment horizontal="left" vertical="top" wrapText="1"/>
    </xf>
    <xf numFmtId="0" fontId="2" fillId="2" borderId="46" xfId="0" applyFont="1" applyFill="1" applyBorder="1" applyAlignment="1">
      <alignment vertical="top" wrapText="1"/>
    </xf>
    <xf numFmtId="14" fontId="2" fillId="2" borderId="20" xfId="3" applyNumberFormat="1" applyFont="1" applyFill="1" applyBorder="1" applyAlignment="1">
      <alignment vertical="top" wrapText="1"/>
    </xf>
    <xf numFmtId="0" fontId="2" fillId="2" borderId="40" xfId="0" applyFont="1" applyFill="1" applyBorder="1" applyAlignment="1">
      <alignment vertical="top"/>
    </xf>
    <xf numFmtId="14" fontId="2" fillId="2" borderId="47" xfId="3" applyNumberFormat="1" applyFont="1" applyFill="1" applyBorder="1" applyAlignment="1">
      <alignment vertical="top" wrapText="1"/>
    </xf>
    <xf numFmtId="0" fontId="2" fillId="2" borderId="48" xfId="3" applyFont="1" applyFill="1" applyBorder="1" applyAlignment="1">
      <alignment vertical="top" wrapText="1"/>
    </xf>
    <xf numFmtId="0" fontId="13" fillId="2" borderId="48" xfId="0" applyFont="1" applyFill="1" applyBorder="1" applyAlignment="1">
      <alignment horizontal="left" vertical="top" wrapText="1"/>
    </xf>
    <xf numFmtId="0" fontId="9" fillId="5" borderId="40" xfId="3" applyFont="1" applyFill="1" applyBorder="1" applyAlignment="1">
      <alignment horizontal="left" vertical="center"/>
    </xf>
    <xf numFmtId="0" fontId="13" fillId="2" borderId="40" xfId="0" applyFont="1" applyFill="1" applyBorder="1" applyAlignment="1">
      <alignment vertical="top" wrapText="1"/>
    </xf>
    <xf numFmtId="0" fontId="13" fillId="2" borderId="48" xfId="0" applyFont="1" applyFill="1" applyBorder="1" applyAlignment="1">
      <alignment vertical="top" wrapText="1"/>
    </xf>
    <xf numFmtId="0" fontId="13" fillId="2" borderId="49" xfId="0" applyFont="1" applyFill="1" applyBorder="1" applyAlignment="1">
      <alignment horizontal="left" vertical="top" wrapText="1"/>
    </xf>
    <xf numFmtId="0" fontId="2" fillId="2" borderId="50" xfId="3" applyFont="1" applyFill="1" applyBorder="1" applyAlignment="1">
      <alignment vertical="top" wrapText="1"/>
    </xf>
    <xf numFmtId="0" fontId="2" fillId="2" borderId="0" xfId="3" applyFont="1" applyFill="1" applyAlignment="1">
      <alignment vertical="top" wrapText="1"/>
    </xf>
    <xf numFmtId="0" fontId="18" fillId="0" borderId="0" xfId="0" applyFont="1" applyAlignment="1">
      <alignment vertical="top" wrapText="1"/>
    </xf>
    <xf numFmtId="0" fontId="2" fillId="2" borderId="2" xfId="3" applyFont="1" applyFill="1" applyBorder="1" applyAlignment="1">
      <alignment horizontal="left" vertical="top" wrapText="1"/>
    </xf>
    <xf numFmtId="0" fontId="13" fillId="2" borderId="2" xfId="0" applyFont="1" applyFill="1" applyBorder="1" applyAlignment="1">
      <alignment horizontal="left" vertical="top"/>
    </xf>
    <xf numFmtId="0" fontId="2" fillId="2" borderId="51" xfId="3" applyFont="1" applyFill="1" applyBorder="1" applyAlignment="1">
      <alignment vertical="top" wrapText="1"/>
    </xf>
    <xf numFmtId="0" fontId="13" fillId="2" borderId="42" xfId="0" applyFont="1" applyFill="1" applyBorder="1" applyAlignment="1">
      <alignment vertical="top" wrapText="1"/>
    </xf>
    <xf numFmtId="0" fontId="2" fillId="2" borderId="44" xfId="3" applyFont="1" applyFill="1" applyBorder="1" applyAlignment="1">
      <alignment vertical="top" wrapText="1"/>
    </xf>
    <xf numFmtId="0" fontId="13" fillId="2" borderId="41" xfId="0" applyFont="1" applyFill="1" applyBorder="1" applyAlignment="1">
      <alignment vertical="top" wrapText="1"/>
    </xf>
    <xf numFmtId="0" fontId="18" fillId="0" borderId="40" xfId="0" applyFont="1" applyBorder="1" applyAlignment="1">
      <alignment vertical="top" wrapText="1"/>
    </xf>
    <xf numFmtId="0" fontId="2" fillId="2" borderId="3" xfId="3" applyFont="1" applyFill="1" applyBorder="1" applyAlignment="1">
      <alignment vertical="top" wrapText="1"/>
    </xf>
    <xf numFmtId="14" fontId="2" fillId="2" borderId="46" xfId="3" applyNumberFormat="1" applyFont="1" applyFill="1" applyBorder="1" applyAlignment="1">
      <alignment vertical="top" wrapText="1"/>
    </xf>
    <xf numFmtId="0" fontId="13" fillId="2" borderId="52" xfId="0" applyFont="1" applyFill="1" applyBorder="1" applyAlignment="1">
      <alignment horizontal="left" vertical="top" wrapText="1"/>
    </xf>
    <xf numFmtId="0" fontId="13" fillId="2" borderId="51" xfId="0" applyFont="1" applyFill="1" applyBorder="1" applyAlignment="1">
      <alignment horizontal="left" vertical="top"/>
    </xf>
    <xf numFmtId="0" fontId="2" fillId="2" borderId="51" xfId="3" applyFont="1" applyFill="1" applyBorder="1" applyAlignment="1">
      <alignment vertical="top"/>
    </xf>
    <xf numFmtId="14" fontId="2" fillId="2" borderId="51" xfId="3" applyNumberFormat="1" applyFont="1" applyFill="1" applyBorder="1" applyAlignment="1">
      <alignment vertical="top" wrapText="1"/>
    </xf>
    <xf numFmtId="0" fontId="13" fillId="2" borderId="51" xfId="0" applyFont="1" applyFill="1" applyBorder="1" applyAlignment="1">
      <alignment vertical="top" wrapText="1"/>
    </xf>
    <xf numFmtId="0" fontId="2" fillId="2" borderId="42" xfId="3" applyFont="1" applyFill="1" applyBorder="1" applyAlignment="1">
      <alignment horizontal="left" vertical="top" wrapText="1"/>
    </xf>
    <xf numFmtId="0" fontId="19" fillId="0" borderId="0" xfId="0" applyFont="1"/>
    <xf numFmtId="0" fontId="2" fillId="2" borderId="53" xfId="3" applyFont="1" applyFill="1" applyBorder="1" applyAlignment="1">
      <alignment vertical="top" wrapText="1"/>
    </xf>
    <xf numFmtId="0" fontId="13" fillId="2" borderId="54" xfId="0" applyFont="1" applyFill="1" applyBorder="1" applyAlignment="1">
      <alignment horizontal="left" vertical="top" wrapText="1"/>
    </xf>
    <xf numFmtId="0" fontId="2" fillId="2" borderId="20" xfId="3" applyFont="1" applyFill="1" applyBorder="1" applyAlignment="1">
      <alignment vertical="top"/>
    </xf>
    <xf numFmtId="0" fontId="13" fillId="2" borderId="44" xfId="0" applyFont="1" applyFill="1" applyBorder="1" applyAlignment="1">
      <alignment horizontal="left" vertical="top" wrapText="1"/>
    </xf>
    <xf numFmtId="0" fontId="2" fillId="2" borderId="52" xfId="3" applyFont="1" applyFill="1" applyBorder="1" applyAlignment="1">
      <alignment vertical="top" wrapText="1"/>
    </xf>
    <xf numFmtId="0" fontId="10" fillId="2" borderId="8" xfId="1" applyFont="1" applyFill="1" applyBorder="1" applyAlignment="1">
      <alignment horizontal="left" vertical="center"/>
    </xf>
    <xf numFmtId="0" fontId="5" fillId="2" borderId="2" xfId="0" applyFont="1" applyFill="1" applyBorder="1" applyAlignment="1">
      <alignment vertical="top" wrapText="1"/>
    </xf>
    <xf numFmtId="1" fontId="4" fillId="2" borderId="1" xfId="0" applyNumberFormat="1" applyFont="1" applyFill="1" applyBorder="1" applyAlignment="1"/>
    <xf numFmtId="0" fontId="5" fillId="2" borderId="2" xfId="0" applyFont="1" applyFill="1" applyBorder="1" applyAlignment="1">
      <alignment horizontal="left"/>
    </xf>
    <xf numFmtId="0" fontId="4" fillId="2" borderId="2" xfId="0" applyFont="1" applyFill="1" applyBorder="1" applyAlignment="1">
      <alignment horizontal="left"/>
    </xf>
    <xf numFmtId="0" fontId="5" fillId="2" borderId="2" xfId="2" applyFont="1" applyFill="1" applyBorder="1" applyAlignment="1">
      <alignment vertical="top"/>
    </xf>
    <xf numFmtId="0" fontId="3" fillId="2" borderId="0" xfId="2" applyFont="1" applyFill="1" applyAlignment="1">
      <alignment horizontal="center"/>
    </xf>
    <xf numFmtId="0" fontId="13" fillId="2" borderId="32" xfId="0" applyFont="1" applyFill="1" applyBorder="1" applyAlignment="1">
      <alignment horizontal="center" vertical="center" wrapText="1"/>
    </xf>
    <xf numFmtId="0" fontId="5" fillId="2" borderId="33" xfId="3" applyFont="1" applyFill="1" applyBorder="1" applyAlignment="1">
      <alignment horizontal="left" wrapText="1"/>
    </xf>
    <xf numFmtId="0" fontId="5" fillId="2" borderId="34" xfId="3" applyFont="1" applyFill="1" applyBorder="1" applyAlignment="1">
      <alignment horizontal="left" wrapText="1"/>
    </xf>
    <xf numFmtId="0" fontId="7" fillId="2" borderId="33" xfId="0" applyFont="1" applyFill="1" applyBorder="1" applyAlignment="1">
      <alignment horizontal="center" vertical="center" wrapText="1"/>
    </xf>
  </cellXfs>
  <cellStyles count="5">
    <cellStyle name="Hyperlink" xfId="1" xr:uid="{00000000-000B-0000-0000-000008000000}"/>
    <cellStyle name="Normal" xfId="0" builtinId="0"/>
    <cellStyle name="Normal_Functional Test Case v1.0" xfId="2" xr:uid="{00000000-0005-0000-0000-000002000000}"/>
    <cellStyle name="Normal_Sheet1" xfId="3" xr:uid="{00000000-0005-0000-0000-000003000000}"/>
    <cellStyle name="標準_結合試験(AllOvertheWorld)"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zoomScale="150" workbookViewId="0">
      <selection activeCell="H13" sqref="H13"/>
    </sheetView>
  </sheetViews>
  <sheetFormatPr baseColWidth="10" defaultColWidth="9" defaultRowHeight="13"/>
  <cols>
    <col min="1" max="1" width="9" style="2"/>
    <col min="2" max="2" width="13.33203125" style="2" customWidth="1"/>
    <col min="3" max="3" width="19.33203125" style="2" customWidth="1"/>
    <col min="4" max="7" width="9" style="2"/>
    <col min="8" max="9" width="33.1640625" style="2" customWidth="1"/>
    <col min="10" max="16384" width="9" style="2"/>
  </cols>
  <sheetData>
    <row r="1" spans="1:8" ht="25.5" customHeight="1">
      <c r="B1" s="163" t="s">
        <v>26</v>
      </c>
      <c r="C1" s="163"/>
      <c r="D1" s="163"/>
      <c r="E1" s="163"/>
      <c r="F1" s="163"/>
      <c r="G1" s="163"/>
      <c r="H1" s="163"/>
    </row>
    <row r="2" spans="1:8" ht="14.25" customHeight="1">
      <c r="A2" s="61"/>
      <c r="B2" s="61"/>
      <c r="C2" s="62"/>
      <c r="D2" s="62"/>
      <c r="E2" s="62"/>
      <c r="F2" s="62"/>
      <c r="G2" s="62"/>
      <c r="H2" s="63"/>
    </row>
    <row r="3" spans="1:8" ht="12" customHeight="1">
      <c r="B3" s="3" t="s">
        <v>1</v>
      </c>
      <c r="C3" s="160" t="s">
        <v>27</v>
      </c>
      <c r="D3" s="160"/>
      <c r="E3" s="161" t="s">
        <v>28</v>
      </c>
      <c r="F3" s="161"/>
      <c r="G3" s="64" t="s">
        <v>202</v>
      </c>
      <c r="H3" s="65"/>
    </row>
    <row r="4" spans="1:8" ht="12" customHeight="1">
      <c r="B4" s="3" t="s">
        <v>2</v>
      </c>
      <c r="C4" s="160" t="s">
        <v>29</v>
      </c>
      <c r="D4" s="160"/>
      <c r="E4" s="161" t="s">
        <v>30</v>
      </c>
      <c r="F4" s="161"/>
      <c r="G4" s="64"/>
      <c r="H4" s="65"/>
    </row>
    <row r="5" spans="1:8" ht="12" customHeight="1">
      <c r="B5" s="66" t="s">
        <v>31</v>
      </c>
      <c r="C5" s="160" t="str">
        <f>C4&amp;"_"&amp;"Test Report"&amp;"_"&amp;"vx.x"</f>
        <v>&lt;Project Code&gt;_Test Report_vx.x</v>
      </c>
      <c r="D5" s="160"/>
      <c r="E5" s="161" t="s">
        <v>32</v>
      </c>
      <c r="F5" s="161"/>
      <c r="G5" s="64"/>
      <c r="H5" s="67" t="s">
        <v>33</v>
      </c>
    </row>
    <row r="6" spans="1:8" ht="21.75" customHeight="1">
      <c r="A6" s="61"/>
      <c r="B6" s="66" t="s">
        <v>34</v>
      </c>
      <c r="C6" s="162" t="s">
        <v>201</v>
      </c>
      <c r="D6" s="162"/>
      <c r="E6" s="162"/>
      <c r="F6" s="162"/>
      <c r="G6" s="162"/>
      <c r="H6" s="162"/>
    </row>
    <row r="7" spans="1:8" ht="14.25" customHeight="1">
      <c r="A7" s="61"/>
      <c r="B7" s="68"/>
      <c r="C7" s="69"/>
      <c r="D7" s="62"/>
      <c r="E7" s="62"/>
      <c r="F7" s="62"/>
      <c r="G7" s="62"/>
      <c r="H7" s="63"/>
    </row>
    <row r="8" spans="1:8">
      <c r="B8" s="68"/>
      <c r="C8" s="69"/>
      <c r="D8" s="62"/>
      <c r="E8" s="62"/>
      <c r="F8" s="62"/>
      <c r="G8" s="62"/>
      <c r="H8" s="63"/>
    </row>
    <row r="10" spans="1:8" ht="14">
      <c r="A10" s="70"/>
      <c r="B10" s="71" t="s">
        <v>5</v>
      </c>
      <c r="C10" s="72" t="s">
        <v>35</v>
      </c>
      <c r="D10" s="73" t="s">
        <v>36</v>
      </c>
      <c r="E10" s="72" t="s">
        <v>37</v>
      </c>
      <c r="F10" s="72" t="s">
        <v>38</v>
      </c>
      <c r="G10" s="74" t="s">
        <v>39</v>
      </c>
      <c r="H10" s="75" t="s">
        <v>40</v>
      </c>
    </row>
    <row r="11" spans="1:8">
      <c r="A11" s="70"/>
      <c r="B11" s="76">
        <v>1</v>
      </c>
      <c r="C11" s="77" t="str">
        <f>Module1!B2</f>
        <v xml:space="preserve">Module1 </v>
      </c>
      <c r="D11" s="78">
        <f>Module1!$A$6</f>
        <v>6</v>
      </c>
      <c r="E11" s="78">
        <f>Module1!$B$6</f>
        <v>0</v>
      </c>
      <c r="F11" s="78">
        <f>Module1!$C$6</f>
        <v>0</v>
      </c>
      <c r="G11" s="79">
        <f>Module1!$D$6</f>
        <v>0</v>
      </c>
      <c r="H11" s="80">
        <f>Module1!$E$6</f>
        <v>6</v>
      </c>
    </row>
    <row r="12" spans="1:8">
      <c r="A12" s="70"/>
      <c r="B12" s="76">
        <v>2</v>
      </c>
      <c r="C12" s="77" t="str">
        <f>Module2!B2</f>
        <v>Module2</v>
      </c>
      <c r="D12" s="78">
        <f>Module2!$A$6</f>
        <v>10</v>
      </c>
      <c r="E12" s="78">
        <f>Module2!$B$6</f>
        <v>2</v>
      </c>
      <c r="F12" s="78">
        <f>Module2!$C$6</f>
        <v>0</v>
      </c>
      <c r="G12" s="79">
        <f>Module2!$D$6</f>
        <v>0</v>
      </c>
      <c r="H12" s="80">
        <f>Module2!$E$6</f>
        <v>12</v>
      </c>
    </row>
    <row r="13" spans="1:8">
      <c r="A13" s="70"/>
      <c r="B13" s="76">
        <v>3</v>
      </c>
      <c r="C13" s="77" t="str">
        <f>Module3!B2</f>
        <v>Module3</v>
      </c>
      <c r="D13" s="78">
        <f>Module3!$A$6</f>
        <v>7</v>
      </c>
      <c r="E13" s="78">
        <f>Module3!$B$6</f>
        <v>0</v>
      </c>
      <c r="F13" s="78">
        <f>Module3!$C$6</f>
        <v>0</v>
      </c>
      <c r="G13" s="79">
        <f>Module3!$D$6</f>
        <v>0</v>
      </c>
      <c r="H13" s="80">
        <f>Module3!$E$6</f>
        <v>7</v>
      </c>
    </row>
    <row r="14" spans="1:8">
      <c r="A14" s="70"/>
      <c r="B14" s="76">
        <v>4</v>
      </c>
      <c r="C14" s="77" t="str">
        <f>Module4!B2</f>
        <v>Module4</v>
      </c>
      <c r="D14" s="78">
        <f>Module4!$A$6</f>
        <v>4</v>
      </c>
      <c r="E14" s="78">
        <f>Module4!$B$6</f>
        <v>2</v>
      </c>
      <c r="F14" s="78">
        <f>Module4!$C$6</f>
        <v>0</v>
      </c>
      <c r="G14" s="79">
        <f>Module4!$D$6</f>
        <v>0</v>
      </c>
      <c r="H14" s="80">
        <f>Module4!$E$6</f>
        <v>6</v>
      </c>
    </row>
    <row r="15" spans="1:8">
      <c r="A15" s="70"/>
      <c r="B15" s="76">
        <v>5</v>
      </c>
      <c r="C15" s="77" t="str">
        <f>Module5!B2</f>
        <v>Module5</v>
      </c>
      <c r="D15" s="78">
        <f>Module5!$A$6</f>
        <v>4</v>
      </c>
      <c r="E15" s="78">
        <f>Module5!$B$6</f>
        <v>4</v>
      </c>
      <c r="F15" s="78">
        <f>Module5!$C$6</f>
        <v>0</v>
      </c>
      <c r="G15" s="79">
        <f>Module5!$D$6</f>
        <v>0</v>
      </c>
      <c r="H15" s="80">
        <f>Module5!$E$6</f>
        <v>8</v>
      </c>
    </row>
    <row r="16" spans="1:8">
      <c r="A16" s="70"/>
      <c r="B16" s="76">
        <v>6</v>
      </c>
      <c r="C16" s="77" t="str">
        <f>Module6!B2</f>
        <v>Module6</v>
      </c>
      <c r="D16" s="78">
        <f>Module6!$A$6</f>
        <v>3</v>
      </c>
      <c r="E16" s="78">
        <f>Module6!$B$6</f>
        <v>2</v>
      </c>
      <c r="F16" s="78">
        <f>Module6!$C$6</f>
        <v>0</v>
      </c>
      <c r="G16" s="79">
        <f>Module6!$D$6</f>
        <v>0</v>
      </c>
      <c r="H16" s="80">
        <f>Module6!$E$6</f>
        <v>5</v>
      </c>
    </row>
    <row r="17" spans="1:8">
      <c r="A17" s="70"/>
      <c r="B17" s="76">
        <v>7</v>
      </c>
      <c r="C17" s="77" t="str">
        <f>Module7!B2</f>
        <v>Module7</v>
      </c>
      <c r="D17" s="78">
        <f>Module7!$A$6</f>
        <v>4</v>
      </c>
      <c r="E17" s="78">
        <f>Module7!$B$6</f>
        <v>0</v>
      </c>
      <c r="F17" s="78">
        <f>Module7!$C$6</f>
        <v>0</v>
      </c>
      <c r="G17" s="79">
        <f>Module7!$D$6</f>
        <v>0</v>
      </c>
      <c r="H17" s="80">
        <f>Module7!$E$6</f>
        <v>4</v>
      </c>
    </row>
    <row r="18" spans="1:8">
      <c r="A18" s="70"/>
      <c r="B18" s="76"/>
      <c r="C18" s="77"/>
      <c r="D18" s="78"/>
      <c r="E18" s="78"/>
      <c r="F18" s="78"/>
      <c r="G18" s="79"/>
      <c r="H18" s="80"/>
    </row>
    <row r="19" spans="1:8">
      <c r="A19" s="70"/>
      <c r="B19" s="76"/>
      <c r="C19" s="77"/>
      <c r="D19" s="78"/>
      <c r="E19" s="78"/>
      <c r="F19" s="78"/>
      <c r="G19" s="79"/>
      <c r="H19" s="80"/>
    </row>
    <row r="20" spans="1:8">
      <c r="A20" s="70"/>
      <c r="B20" s="76"/>
      <c r="C20" s="77"/>
      <c r="D20" s="78"/>
      <c r="E20" s="78"/>
      <c r="F20" s="78"/>
      <c r="G20" s="79"/>
      <c r="H20" s="80"/>
    </row>
    <row r="21" spans="1:8">
      <c r="A21" s="70"/>
      <c r="B21" s="81"/>
      <c r="C21" s="82" t="s">
        <v>41</v>
      </c>
      <c r="D21" s="83">
        <f>SUM(D9:D20)</f>
        <v>38</v>
      </c>
      <c r="E21" s="83">
        <f>SUM(E9:E20)</f>
        <v>10</v>
      </c>
      <c r="F21" s="83">
        <f>SUM(F9:F20)</f>
        <v>0</v>
      </c>
      <c r="G21" s="83">
        <f>SUM(G9:G20)</f>
        <v>0</v>
      </c>
      <c r="H21" s="84">
        <f>SUM(H9:H20)</f>
        <v>48</v>
      </c>
    </row>
    <row r="22" spans="1:8">
      <c r="B22" s="85"/>
      <c r="D22" s="86"/>
      <c r="E22" s="87"/>
      <c r="F22" s="87"/>
      <c r="G22" s="87"/>
      <c r="H22" s="87"/>
    </row>
    <row r="23" spans="1:8">
      <c r="C23" s="88" t="s">
        <v>42</v>
      </c>
      <c r="E23" s="89">
        <f>(D21+E21)*100/(H21-G21)</f>
        <v>100</v>
      </c>
      <c r="F23" s="2" t="s">
        <v>43</v>
      </c>
      <c r="H23" s="47"/>
    </row>
    <row r="24" spans="1:8">
      <c r="C24" s="88" t="s">
        <v>44</v>
      </c>
      <c r="E24" s="89">
        <f>D21*100/(H21-G21)</f>
        <v>79.166666666666671</v>
      </c>
      <c r="F24" s="2" t="s">
        <v>43</v>
      </c>
      <c r="H24" s="47"/>
    </row>
  </sheetData>
  <mergeCells count="8">
    <mergeCell ref="C5:D5"/>
    <mergeCell ref="E5:F5"/>
    <mergeCell ref="C6:H6"/>
    <mergeCell ref="B1:H1"/>
    <mergeCell ref="C3:D3"/>
    <mergeCell ref="E3:F3"/>
    <mergeCell ref="C4:D4"/>
    <mergeCell ref="E4:F4"/>
  </mergeCells>
  <phoneticPr fontId="0" type="noConversion"/>
  <pageMargins left="0.74791666666666667" right="0.74791666666666667" top="0.98402777777777783" bottom="0.98402777777777772" header="0.51180555555555562" footer="0.5"/>
  <pageSetup firstPageNumber="0" orientation="landscape" horizontalDpi="300" verticalDpi="300" r:id="rId1"/>
  <headerFooter alignWithMargins="0">
    <oddFooter>&amp;L&amp;"Tahoma,Regular"&amp;8 02ae-BM/PM/HDCV/FSOFT v2/0&amp;C&amp;"tahoma,Regular"&amp;8Internal use&amp;R&amp;"Tahoma,Regular"&amp;8&amp;P/&amp;N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1"/>
  <sheetViews>
    <sheetView topLeftCell="A4" zoomScale="164" workbookViewId="0">
      <selection activeCell="C9" sqref="C9"/>
    </sheetView>
  </sheetViews>
  <sheetFormatPr baseColWidth="10" defaultColWidth="9" defaultRowHeight="13"/>
  <cols>
    <col min="1" max="1" width="1.33203125" style="2" customWidth="1"/>
    <col min="2" max="2" width="11.6640625" style="4" customWidth="1"/>
    <col min="3" max="3" width="26.33203125" style="5" customWidth="1"/>
    <col min="4" max="4" width="17.1640625" style="5" customWidth="1"/>
    <col min="5" max="5" width="28.1640625" style="5" customWidth="1"/>
    <col min="6" max="6" width="30.6640625" style="5" customWidth="1"/>
    <col min="7" max="16384" width="9" style="2"/>
  </cols>
  <sheetData>
    <row r="1" spans="2:6" ht="25">
      <c r="B1" s="6"/>
      <c r="D1" s="7" t="s">
        <v>0</v>
      </c>
      <c r="E1" s="8"/>
    </row>
    <row r="2" spans="2:6" ht="13.5" customHeight="1">
      <c r="B2" s="6"/>
      <c r="D2" s="9"/>
      <c r="E2" s="9"/>
    </row>
    <row r="3" spans="2:6">
      <c r="B3" s="159" t="s">
        <v>1</v>
      </c>
      <c r="C3" s="159"/>
      <c r="D3" s="160" t="e">
        <f>#REF!</f>
        <v>#REF!</v>
      </c>
      <c r="E3" s="160"/>
      <c r="F3" s="160"/>
    </row>
    <row r="4" spans="2:6">
      <c r="B4" s="159" t="s">
        <v>2</v>
      </c>
      <c r="C4" s="159"/>
      <c r="D4" s="160" t="e">
        <f>#REF!</f>
        <v>#REF!</v>
      </c>
      <c r="E4" s="160"/>
      <c r="F4" s="160"/>
    </row>
    <row r="5" spans="2:6" s="10" customFormat="1" ht="84.75" customHeight="1">
      <c r="B5" s="1" t="s">
        <v>3</v>
      </c>
      <c r="C5" s="1"/>
      <c r="D5" s="158" t="s">
        <v>4</v>
      </c>
      <c r="E5" s="158"/>
      <c r="F5" s="158"/>
    </row>
    <row r="6" spans="2:6">
      <c r="B6" s="11"/>
      <c r="C6" s="2"/>
      <c r="D6" s="2"/>
      <c r="E6" s="2"/>
      <c r="F6" s="2"/>
    </row>
    <row r="7" spans="2:6" s="12" customFormat="1">
      <c r="B7" s="13"/>
      <c r="C7" s="14"/>
      <c r="D7" s="14"/>
      <c r="E7" s="14"/>
      <c r="F7" s="14"/>
    </row>
    <row r="8" spans="2:6" s="15" customFormat="1" ht="21" customHeight="1">
      <c r="B8" s="16" t="s">
        <v>5</v>
      </c>
      <c r="C8" s="17" t="s">
        <v>6</v>
      </c>
      <c r="D8" s="17" t="s">
        <v>7</v>
      </c>
      <c r="E8" s="18" t="s">
        <v>8</v>
      </c>
      <c r="F8" s="19" t="s">
        <v>9</v>
      </c>
    </row>
    <row r="9" spans="2:6">
      <c r="B9" s="20">
        <v>1</v>
      </c>
      <c r="C9" s="21" t="s">
        <v>10</v>
      </c>
      <c r="D9" s="22" t="s">
        <v>11</v>
      </c>
      <c r="E9" s="22"/>
      <c r="F9" s="23"/>
    </row>
    <row r="10" spans="2:6">
      <c r="B10" s="20">
        <v>2</v>
      </c>
      <c r="C10" s="21" t="s">
        <v>12</v>
      </c>
      <c r="D10" s="22" t="s">
        <v>11</v>
      </c>
      <c r="E10" s="22"/>
      <c r="F10" s="23"/>
    </row>
    <row r="11" spans="2:6">
      <c r="B11" s="20">
        <v>3</v>
      </c>
      <c r="C11" s="21" t="s">
        <v>13</v>
      </c>
      <c r="D11" s="22" t="s">
        <v>14</v>
      </c>
      <c r="E11" s="22"/>
      <c r="F11" s="23"/>
    </row>
    <row r="12" spans="2:6">
      <c r="B12" s="20">
        <v>4</v>
      </c>
      <c r="C12" s="21" t="s">
        <v>15</v>
      </c>
      <c r="D12" s="22" t="s">
        <v>14</v>
      </c>
      <c r="E12" s="22"/>
      <c r="F12" s="23"/>
    </row>
    <row r="13" spans="2:6">
      <c r="B13" s="20">
        <v>5</v>
      </c>
      <c r="C13" s="21" t="s">
        <v>16</v>
      </c>
      <c r="D13" s="157" t="s">
        <v>17</v>
      </c>
      <c r="E13" s="22"/>
      <c r="F13" s="23"/>
    </row>
    <row r="14" spans="2:6">
      <c r="B14" s="20">
        <v>6</v>
      </c>
      <c r="C14" s="21" t="s">
        <v>18</v>
      </c>
      <c r="D14" s="157" t="s">
        <v>19</v>
      </c>
      <c r="E14" s="24"/>
      <c r="F14" s="23"/>
    </row>
    <row r="15" spans="2:6">
      <c r="B15" s="20">
        <v>7</v>
      </c>
      <c r="C15" s="21" t="s">
        <v>20</v>
      </c>
      <c r="D15" s="157" t="s">
        <v>21</v>
      </c>
      <c r="E15" s="24"/>
      <c r="F15" s="23"/>
    </row>
    <row r="16" spans="2:6">
      <c r="B16" s="20">
        <v>8</v>
      </c>
      <c r="C16" s="21" t="s">
        <v>22</v>
      </c>
      <c r="D16" s="157" t="s">
        <v>23</v>
      </c>
      <c r="E16" s="24"/>
      <c r="F16" s="23"/>
    </row>
    <row r="17" spans="2:6">
      <c r="B17" s="20">
        <v>9</v>
      </c>
      <c r="C17" s="21" t="s">
        <v>24</v>
      </c>
      <c r="D17" s="157" t="s">
        <v>25</v>
      </c>
      <c r="E17" s="24"/>
      <c r="F17" s="23"/>
    </row>
    <row r="18" spans="2:6">
      <c r="B18" s="20"/>
      <c r="C18" s="21"/>
      <c r="D18" s="24"/>
      <c r="E18" s="24"/>
      <c r="F18" s="23"/>
    </row>
    <row r="19" spans="2:6">
      <c r="B19" s="20"/>
      <c r="C19" s="21"/>
      <c r="D19" s="24"/>
      <c r="E19" s="24"/>
      <c r="F19" s="23"/>
    </row>
    <row r="20" spans="2:6">
      <c r="B20" s="20"/>
      <c r="C20" s="21"/>
      <c r="D20" s="24"/>
      <c r="E20" s="24"/>
      <c r="F20" s="23"/>
    </row>
    <row r="21" spans="2:6">
      <c r="B21" s="25"/>
      <c r="C21" s="26"/>
      <c r="D21" s="27"/>
      <c r="E21" s="27"/>
      <c r="F21" s="28"/>
    </row>
  </sheetData>
  <mergeCells count="6">
    <mergeCell ref="B5:C5"/>
    <mergeCell ref="D5:F5"/>
    <mergeCell ref="B3:C3"/>
    <mergeCell ref="D3:F3"/>
    <mergeCell ref="B4:C4"/>
    <mergeCell ref="D4:F4"/>
  </mergeCells>
  <phoneticPr fontId="0" type="noConversion"/>
  <hyperlinks>
    <hyperlink ref="D9" location="Module1!B10" display="Module1" xr:uid="{00000000-0004-0000-0000-000000000000}"/>
    <hyperlink ref="D10" location="Module1!B14" display="Module1" xr:uid="{00000000-0004-0000-0000-000001000000}"/>
    <hyperlink ref="D12" location="Module2!B10" display="Module2" xr:uid="{00000000-0004-0000-0000-000002000000}"/>
    <hyperlink ref="D11" location="Module2!B10" display="Module2" xr:uid="{00000000-0004-0000-0000-000004000000}"/>
    <hyperlink ref="D13:D17" location="Module2!B10" display="Module2" xr:uid="{4EF34F83-FCAA-4B72-8CC1-523BE68F7611}"/>
    <hyperlink ref="D13" location="'Module3'!B10" display="Module3" xr:uid="{007EFEAD-5443-4815-B372-2A15E7612A92}"/>
    <hyperlink ref="D14" location="'Module4'!B10" display="Module4" xr:uid="{841C333C-D313-4725-A0CB-EAA2A28023F6}"/>
    <hyperlink ref="D15" location="'Module5'!B10" display="Module5" xr:uid="{D8C3F7CB-AD32-4C0F-90B9-82CDB7C0C220}"/>
    <hyperlink ref="D16" location="'Module6'!B10" display="Module6" xr:uid="{E6E0B72F-2DF4-4AC8-8A0D-6096DAF5C52A}"/>
    <hyperlink ref="D17" location="'Module7'!B10" display="Module7" xr:uid="{455B70FD-099E-4962-8DF3-9C58E9E71213}"/>
  </hyperlinks>
  <pageMargins left="0.74791666666666667" right="0.74791666666666667" top="0.98402777777777783" bottom="1.1506944444444445" header="0.51180555555555562" footer="0.98402777777777783"/>
  <pageSetup paperSize="9" firstPageNumber="0" orientation="landscape" horizontalDpi="300" verticalDpi="300" r:id="rId1"/>
  <headerFooter alignWithMargins="0">
    <oddFooter>&amp;L&amp;"Tahoma,Regular"&amp;8 02ae-BM/PM/HDCV/FSOFT v2/0&amp;C&amp;"tahoma,Regular"&amp;8Internal use&amp;R&amp;"tahoma,Regular"&amp;8&amp;P/&amp;N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
  <sheetViews>
    <sheetView zoomScale="80" zoomScaleNormal="80" workbookViewId="0">
      <pane ySplit="8" topLeftCell="A9" activePane="bottomLeft" state="frozen"/>
      <selection pane="bottomLeft" activeCell="B30" sqref="B30"/>
    </sheetView>
  </sheetViews>
  <sheetFormatPr baseColWidth="10" defaultColWidth="9" defaultRowHeight="13"/>
  <cols>
    <col min="1" max="1" width="20.1640625" style="2" customWidth="1"/>
    <col min="2" max="2" width="38.1640625" style="2" customWidth="1"/>
    <col min="3" max="3" width="51.83203125" style="2" customWidth="1"/>
    <col min="4" max="4" width="28.33203125" style="2" customWidth="1"/>
    <col min="5" max="5" width="16.83203125" style="2" customWidth="1"/>
    <col min="6" max="6" width="7.1640625" style="2" customWidth="1"/>
    <col min="7" max="7" width="10" style="2" bestFit="1" customWidth="1"/>
    <col min="8" max="8" width="17.6640625" style="2" customWidth="1"/>
    <col min="9" max="9" width="8.1640625" style="29" customWidth="1"/>
    <col min="10" max="10" width="0" style="2" hidden="1" customWidth="1"/>
    <col min="11" max="16384" width="9" style="2"/>
  </cols>
  <sheetData>
    <row r="1" spans="1:10" s="35" customFormat="1">
      <c r="A1" s="30"/>
      <c r="B1" s="31"/>
      <c r="C1" s="31"/>
      <c r="D1" s="31"/>
      <c r="E1" s="31"/>
      <c r="F1" s="32"/>
      <c r="G1" s="33"/>
      <c r="H1" s="10"/>
      <c r="I1" s="34"/>
    </row>
    <row r="2" spans="1:10" s="35" customFormat="1" ht="15" customHeight="1">
      <c r="A2" s="36" t="s">
        <v>45</v>
      </c>
      <c r="B2" s="165" t="s">
        <v>46</v>
      </c>
      <c r="C2" s="165"/>
      <c r="D2" s="165"/>
      <c r="E2" s="165"/>
      <c r="F2" s="165"/>
      <c r="G2" s="10"/>
      <c r="H2" s="10"/>
      <c r="I2" s="34"/>
      <c r="J2" s="35" t="s">
        <v>36</v>
      </c>
    </row>
    <row r="3" spans="1:10" s="35" customFormat="1" ht="25.5" customHeight="1">
      <c r="A3" s="37" t="s">
        <v>47</v>
      </c>
      <c r="B3" s="165" t="s">
        <v>48</v>
      </c>
      <c r="C3" s="165"/>
      <c r="D3" s="165"/>
      <c r="E3" s="165"/>
      <c r="F3" s="165"/>
      <c r="G3" s="10"/>
      <c r="H3" s="10"/>
      <c r="I3" s="34"/>
      <c r="J3" s="35" t="s">
        <v>37</v>
      </c>
    </row>
    <row r="4" spans="1:10" s="35" customFormat="1" ht="18" customHeight="1">
      <c r="A4" s="36" t="s">
        <v>49</v>
      </c>
      <c r="B4" s="166"/>
      <c r="C4" s="166"/>
      <c r="D4" s="166"/>
      <c r="E4" s="166"/>
      <c r="F4" s="166"/>
      <c r="G4" s="10"/>
      <c r="H4" s="10"/>
      <c r="I4" s="34"/>
      <c r="J4" s="38"/>
    </row>
    <row r="5" spans="1:10" s="35" customFormat="1" ht="19.5" customHeight="1">
      <c r="A5" s="39" t="s">
        <v>36</v>
      </c>
      <c r="B5" s="40" t="s">
        <v>37</v>
      </c>
      <c r="C5" s="40" t="s">
        <v>38</v>
      </c>
      <c r="D5" s="41" t="s">
        <v>39</v>
      </c>
      <c r="E5" s="167" t="s">
        <v>50</v>
      </c>
      <c r="F5" s="167"/>
      <c r="G5" s="42"/>
      <c r="H5" s="42"/>
      <c r="I5" s="43"/>
      <c r="J5" s="35" t="s">
        <v>51</v>
      </c>
    </row>
    <row r="6" spans="1:10" s="35" customFormat="1" ht="15" customHeight="1">
      <c r="A6" s="44">
        <f>COUNTIF(F10:F989,"Pass")</f>
        <v>6</v>
      </c>
      <c r="B6" s="45">
        <f>COUNTIF(F10:F989,"Fail")</f>
        <v>0</v>
      </c>
      <c r="C6" s="45">
        <f>E6-D6-B6-A6</f>
        <v>0</v>
      </c>
      <c r="D6" s="46">
        <f>COUNTIF(F$10:F$989,"N/A")</f>
        <v>0</v>
      </c>
      <c r="E6" s="164">
        <f>COUNTA(A10:A989)</f>
        <v>6</v>
      </c>
      <c r="F6" s="164"/>
      <c r="G6" s="42"/>
      <c r="H6" s="42"/>
      <c r="I6" s="43"/>
      <c r="J6" s="35" t="s">
        <v>39</v>
      </c>
    </row>
    <row r="7" spans="1:10" s="35" customFormat="1" ht="15" customHeight="1">
      <c r="D7" s="47"/>
      <c r="E7" s="47"/>
      <c r="F7" s="42"/>
      <c r="G7" s="42"/>
      <c r="H7" s="42"/>
      <c r="I7" s="43"/>
    </row>
    <row r="8" spans="1:10" s="35" customFormat="1" ht="25.5" customHeight="1">
      <c r="A8" s="49" t="s">
        <v>52</v>
      </c>
      <c r="B8" s="49" t="s">
        <v>53</v>
      </c>
      <c r="C8" s="49" t="s">
        <v>54</v>
      </c>
      <c r="D8" s="49" t="s">
        <v>55</v>
      </c>
      <c r="E8" s="49" t="s">
        <v>56</v>
      </c>
      <c r="F8" s="49" t="s">
        <v>57</v>
      </c>
      <c r="G8" s="49" t="s">
        <v>58</v>
      </c>
      <c r="H8" s="49" t="s">
        <v>59</v>
      </c>
      <c r="I8" s="50"/>
    </row>
    <row r="9" spans="1:10" s="35" customFormat="1" ht="15.75" customHeight="1">
      <c r="A9" s="129"/>
      <c r="B9" s="129" t="s">
        <v>10</v>
      </c>
      <c r="C9" s="129"/>
      <c r="D9" s="129"/>
      <c r="E9" s="129"/>
      <c r="F9" s="129"/>
      <c r="G9" s="129"/>
      <c r="H9" s="129"/>
      <c r="I9" s="54"/>
    </row>
    <row r="10" spans="1:10" ht="70">
      <c r="A10" s="121" t="str">
        <f t="shared" ref="A10:A11" si="0">IF(OR(B10&lt;&gt;"",D10&lt;&gt;""),"["&amp;TEXT($B$2,"##")&amp;"-"&amp;TEXT(ROW()-10,"##")&amp;"]","")</f>
        <v>[Module1 -]</v>
      </c>
      <c r="B10" s="121" t="s">
        <v>60</v>
      </c>
      <c r="C10" s="121" t="s">
        <v>61</v>
      </c>
      <c r="D10" s="122" t="s">
        <v>62</v>
      </c>
      <c r="E10" s="122"/>
      <c r="F10" s="121" t="s">
        <v>36</v>
      </c>
      <c r="G10" s="144"/>
      <c r="H10" s="123"/>
      <c r="I10" s="57"/>
    </row>
    <row r="11" spans="1:10" ht="70">
      <c r="A11" s="111" t="str">
        <f t="shared" si="0"/>
        <v>[Module1 -1]</v>
      </c>
      <c r="B11" s="102" t="s">
        <v>63</v>
      </c>
      <c r="C11" s="102" t="s">
        <v>61</v>
      </c>
      <c r="D11" s="156" t="s">
        <v>64</v>
      </c>
      <c r="E11" s="145"/>
      <c r="F11" s="106" t="s">
        <v>36</v>
      </c>
      <c r="G11" s="108"/>
      <c r="H11" s="109"/>
      <c r="I11" s="57"/>
    </row>
    <row r="12" spans="1:10">
      <c r="A12" s="93"/>
      <c r="B12" s="92" t="s">
        <v>12</v>
      </c>
      <c r="C12" s="93"/>
      <c r="D12" s="93"/>
      <c r="E12" s="93"/>
      <c r="F12" s="93"/>
      <c r="G12" s="93"/>
      <c r="H12" s="94"/>
      <c r="I12" s="57"/>
    </row>
    <row r="13" spans="1:10" ht="42">
      <c r="A13" s="55" t="str">
        <f t="shared" ref="A13:A16" si="1">IF(OR(B13&lt;&gt;"",D13&lt;&gt;""),"["&amp;TEXT($B$2,"##")&amp;"-"&amp;TEXT(ROW()-11,"##")&amp;"]","")</f>
        <v>[Module1 -2]</v>
      </c>
      <c r="B13" s="97" t="s">
        <v>65</v>
      </c>
      <c r="C13" s="55" t="s">
        <v>66</v>
      </c>
      <c r="D13" s="96" t="s">
        <v>67</v>
      </c>
      <c r="E13" s="96"/>
      <c r="F13" s="95" t="s">
        <v>36</v>
      </c>
      <c r="G13" s="101"/>
      <c r="H13" s="56"/>
    </row>
    <row r="14" spans="1:10" ht="42">
      <c r="A14" s="55" t="str">
        <f t="shared" si="1"/>
        <v>[Module1 -3]</v>
      </c>
      <c r="B14" s="97" t="s">
        <v>68</v>
      </c>
      <c r="C14" s="91" t="s">
        <v>69</v>
      </c>
      <c r="D14" s="114" t="s">
        <v>70</v>
      </c>
      <c r="E14" s="98"/>
      <c r="F14" s="115" t="s">
        <v>36</v>
      </c>
      <c r="G14" s="116"/>
      <c r="H14" s="117"/>
    </row>
    <row r="15" spans="1:10" ht="42">
      <c r="A15" s="99" t="str">
        <f t="shared" si="1"/>
        <v>[Module1 -4]</v>
      </c>
      <c r="B15" s="106" t="s">
        <v>71</v>
      </c>
      <c r="C15" s="113" t="s">
        <v>72</v>
      </c>
      <c r="D15" s="103" t="s">
        <v>73</v>
      </c>
      <c r="E15" s="103"/>
      <c r="F15" s="102" t="s">
        <v>36</v>
      </c>
      <c r="G15" s="104"/>
      <c r="H15" s="112"/>
    </row>
    <row r="16" spans="1:10" ht="56">
      <c r="A16" s="99" t="str">
        <f t="shared" si="1"/>
        <v>[Module1 -5]</v>
      </c>
      <c r="B16" s="102" t="s">
        <v>74</v>
      </c>
      <c r="C16" s="113" t="s">
        <v>75</v>
      </c>
      <c r="D16" s="107" t="s">
        <v>70</v>
      </c>
      <c r="E16" s="107"/>
      <c r="F16" s="106" t="s">
        <v>36</v>
      </c>
      <c r="G16" s="108"/>
      <c r="H16" s="118"/>
    </row>
    <row r="17" spans="1:8">
      <c r="A17" s="55"/>
      <c r="B17" s="102"/>
      <c r="C17" s="102"/>
      <c r="D17" s="103"/>
      <c r="E17" s="103"/>
      <c r="F17" s="111"/>
      <c r="G17" s="112"/>
      <c r="H17" s="112"/>
    </row>
  </sheetData>
  <autoFilter ref="A8:H16" xr:uid="{00000000-0009-0000-0000-000003000000}"/>
  <mergeCells count="5">
    <mergeCell ref="E6:F6"/>
    <mergeCell ref="B2:F2"/>
    <mergeCell ref="B3:F3"/>
    <mergeCell ref="B4:F4"/>
    <mergeCell ref="E5:F5"/>
  </mergeCells>
  <phoneticPr fontId="0" type="noConversion"/>
  <dataValidations count="1">
    <dataValidation type="list" allowBlank="1" showErrorMessage="1" sqref="F1:F3 F7:F136" xr:uid="{00000000-0002-0000-0300-000000000000}">
      <formula1>$J$2:$J$6</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2"/>
  <sheetViews>
    <sheetView zoomScale="80" zoomScaleNormal="80" workbookViewId="0">
      <pane ySplit="8" topLeftCell="A11" activePane="bottomLeft" state="frozen"/>
      <selection pane="bottomLeft" activeCell="A14" sqref="A14:XFD19"/>
    </sheetView>
  </sheetViews>
  <sheetFormatPr baseColWidth="10" defaultColWidth="9" defaultRowHeight="13"/>
  <cols>
    <col min="1" max="1" width="17.33203125" style="2" customWidth="1"/>
    <col min="2" max="2" width="37.1640625" style="2" customWidth="1"/>
    <col min="3" max="3" width="40.6640625" style="2" customWidth="1"/>
    <col min="4" max="4" width="30.1640625" style="2" customWidth="1"/>
    <col min="5" max="5" width="16.83203125" style="2" customWidth="1"/>
    <col min="6" max="6" width="7.1640625" style="2" customWidth="1"/>
    <col min="7" max="7" width="9.33203125" style="2" bestFit="1" customWidth="1"/>
    <col min="8" max="8" width="17.6640625" style="2" customWidth="1"/>
    <col min="9" max="9" width="8.1640625" style="29" customWidth="1"/>
    <col min="10" max="10" width="0" style="2" hidden="1" customWidth="1"/>
    <col min="11" max="16384" width="9" style="2"/>
  </cols>
  <sheetData>
    <row r="1" spans="1:10" s="35" customFormat="1">
      <c r="A1" s="30"/>
      <c r="B1" s="31"/>
      <c r="C1" s="31"/>
      <c r="D1" s="31"/>
      <c r="E1" s="31"/>
      <c r="F1" s="32"/>
      <c r="G1" s="33"/>
      <c r="H1" s="10"/>
      <c r="I1" s="34"/>
    </row>
    <row r="2" spans="1:10" s="35" customFormat="1" ht="15" customHeight="1">
      <c r="A2" s="36" t="s">
        <v>45</v>
      </c>
      <c r="B2" s="165" t="s">
        <v>14</v>
      </c>
      <c r="C2" s="165"/>
      <c r="D2" s="165"/>
      <c r="E2" s="165"/>
      <c r="F2" s="165"/>
      <c r="G2" s="10"/>
      <c r="H2" s="10"/>
      <c r="I2" s="34"/>
      <c r="J2" s="35" t="s">
        <v>36</v>
      </c>
    </row>
    <row r="3" spans="1:10" s="35" customFormat="1" ht="25.5" customHeight="1">
      <c r="A3" s="37" t="s">
        <v>47</v>
      </c>
      <c r="B3" s="165" t="s">
        <v>76</v>
      </c>
      <c r="C3" s="165"/>
      <c r="D3" s="165"/>
      <c r="E3" s="165"/>
      <c r="F3" s="165"/>
      <c r="G3" s="10"/>
      <c r="H3" s="10"/>
      <c r="I3" s="34"/>
      <c r="J3" s="35" t="s">
        <v>37</v>
      </c>
    </row>
    <row r="4" spans="1:10" s="35" customFormat="1" ht="18" customHeight="1">
      <c r="A4" s="36" t="s">
        <v>49</v>
      </c>
      <c r="B4" s="166"/>
      <c r="C4" s="166"/>
      <c r="D4" s="166"/>
      <c r="E4" s="166"/>
      <c r="F4" s="166"/>
      <c r="G4" s="10"/>
      <c r="H4" s="10"/>
      <c r="I4" s="34"/>
      <c r="J4" s="38"/>
    </row>
    <row r="5" spans="1:10" s="35" customFormat="1" ht="19.5" customHeight="1">
      <c r="A5" s="39" t="s">
        <v>36</v>
      </c>
      <c r="B5" s="40" t="s">
        <v>37</v>
      </c>
      <c r="C5" s="40" t="s">
        <v>38</v>
      </c>
      <c r="D5" s="41" t="s">
        <v>39</v>
      </c>
      <c r="E5" s="167" t="s">
        <v>50</v>
      </c>
      <c r="F5" s="167"/>
      <c r="G5" s="42"/>
      <c r="H5" s="42"/>
      <c r="I5" s="43"/>
      <c r="J5" s="35" t="s">
        <v>51</v>
      </c>
    </row>
    <row r="6" spans="1:10" s="35" customFormat="1" ht="15" customHeight="1">
      <c r="A6" s="59">
        <f>COUNTIF(F9:F996,"Pass")</f>
        <v>10</v>
      </c>
      <c r="B6" s="45">
        <f>COUNTIF(F9:F996,"Fail")</f>
        <v>2</v>
      </c>
      <c r="C6" s="45">
        <f>E6-D6-B6-A6</f>
        <v>0</v>
      </c>
      <c r="D6" s="46">
        <f>COUNTIF(F$9:F$996,"N/A")</f>
        <v>0</v>
      </c>
      <c r="E6" s="164">
        <f>COUNTA(A9:A996)</f>
        <v>12</v>
      </c>
      <c r="F6" s="164"/>
      <c r="G6" s="42"/>
      <c r="H6" s="42"/>
      <c r="I6" s="43"/>
      <c r="J6" s="35" t="s">
        <v>39</v>
      </c>
    </row>
    <row r="7" spans="1:10" s="35" customFormat="1" ht="15" customHeight="1">
      <c r="D7" s="47"/>
      <c r="E7" s="47"/>
      <c r="F7" s="47"/>
      <c r="G7" s="47"/>
      <c r="H7" s="47"/>
      <c r="I7" s="43"/>
    </row>
    <row r="8" spans="1:10" s="35" customFormat="1" ht="25.5" customHeight="1">
      <c r="A8" s="48" t="s">
        <v>52</v>
      </c>
      <c r="B8" s="48" t="s">
        <v>53</v>
      </c>
      <c r="C8" s="48" t="s">
        <v>54</v>
      </c>
      <c r="D8" s="48" t="s">
        <v>55</v>
      </c>
      <c r="E8" s="49" t="s">
        <v>56</v>
      </c>
      <c r="F8" s="49" t="s">
        <v>57</v>
      </c>
      <c r="G8" s="49" t="s">
        <v>58</v>
      </c>
      <c r="H8" s="48" t="s">
        <v>59</v>
      </c>
      <c r="I8" s="50"/>
    </row>
    <row r="9" spans="1:10" s="35" customFormat="1" ht="15" customHeight="1">
      <c r="A9" s="51"/>
      <c r="B9" s="51" t="s">
        <v>13</v>
      </c>
      <c r="C9" s="52"/>
      <c r="D9" s="52"/>
      <c r="E9" s="52"/>
      <c r="F9" s="52"/>
      <c r="G9" s="52"/>
      <c r="H9" s="53"/>
      <c r="I9" s="54"/>
    </row>
    <row r="10" spans="1:10" ht="42">
      <c r="A10" s="55" t="str">
        <f t="shared" ref="A10:A14" si="0">IF(OR(B10&lt;&gt;"",D10&lt;&gt;""),"["&amp;TEXT($B$2,"##")&amp;"-"&amp;TEXT(ROW()-10,"##")&amp;"]","")</f>
        <v>[Module2-]</v>
      </c>
      <c r="B10" s="55" t="s">
        <v>77</v>
      </c>
      <c r="C10" s="55" t="s">
        <v>78</v>
      </c>
      <c r="D10" s="58" t="s">
        <v>79</v>
      </c>
      <c r="E10" s="58"/>
      <c r="F10" s="55" t="s">
        <v>36</v>
      </c>
      <c r="G10" s="90"/>
      <c r="H10" s="60"/>
      <c r="I10" s="57"/>
    </row>
    <row r="11" spans="1:10" ht="42">
      <c r="A11" s="55" t="str">
        <f t="shared" si="0"/>
        <v>[Module2-1]</v>
      </c>
      <c r="B11" s="55" t="s">
        <v>80</v>
      </c>
      <c r="C11" s="55" t="s">
        <v>81</v>
      </c>
      <c r="D11" s="58" t="s">
        <v>82</v>
      </c>
      <c r="E11" s="58"/>
      <c r="F11" s="55" t="s">
        <v>37</v>
      </c>
      <c r="G11" s="90"/>
      <c r="H11" s="60"/>
      <c r="I11" s="57"/>
    </row>
    <row r="12" spans="1:10" ht="56">
      <c r="A12" s="55" t="str">
        <f t="shared" si="0"/>
        <v>[Module2-2]</v>
      </c>
      <c r="B12" s="91" t="s">
        <v>83</v>
      </c>
      <c r="C12" s="55" t="s">
        <v>84</v>
      </c>
      <c r="D12" s="58" t="s">
        <v>82</v>
      </c>
      <c r="E12" s="98"/>
      <c r="F12" s="91" t="s">
        <v>37</v>
      </c>
      <c r="G12" s="124"/>
      <c r="H12" s="100"/>
      <c r="I12" s="57"/>
    </row>
    <row r="13" spans="1:10" ht="28">
      <c r="A13" s="55" t="str">
        <f t="shared" si="0"/>
        <v>[Module2-3]</v>
      </c>
      <c r="B13" s="154" t="s">
        <v>85</v>
      </c>
      <c r="C13" s="55" t="s">
        <v>86</v>
      </c>
      <c r="D13" s="98" t="s">
        <v>87</v>
      </c>
      <c r="E13" s="98"/>
      <c r="F13" s="91" t="s">
        <v>36</v>
      </c>
      <c r="G13" s="124"/>
      <c r="H13" s="100"/>
      <c r="I13" s="57"/>
    </row>
    <row r="14" spans="1:10" ht="42">
      <c r="A14" s="91" t="str">
        <f t="shared" si="0"/>
        <v>[Module2-4]</v>
      </c>
      <c r="B14" s="111" t="s">
        <v>88</v>
      </c>
      <c r="C14" s="102" t="s">
        <v>89</v>
      </c>
      <c r="D14" s="103" t="s">
        <v>90</v>
      </c>
      <c r="E14" s="155"/>
      <c r="F14" s="106" t="s">
        <v>36</v>
      </c>
      <c r="G14" s="104"/>
      <c r="H14" s="130"/>
      <c r="I14" s="57"/>
    </row>
    <row r="15" spans="1:10" s="35" customFormat="1" ht="15" customHeight="1">
      <c r="A15" s="92"/>
      <c r="B15" s="92" t="s">
        <v>15</v>
      </c>
      <c r="C15" s="93"/>
      <c r="D15" s="93"/>
      <c r="E15" s="93"/>
      <c r="F15" s="93"/>
      <c r="G15" s="93"/>
      <c r="H15" s="94"/>
      <c r="I15" s="54"/>
    </row>
    <row r="16" spans="1:10" ht="42">
      <c r="A16" s="55" t="str">
        <f>IF(OR(B16&lt;&gt;"",D16&lt;&gt;""),"["&amp;TEXT($B$2,"##")&amp;"-"&amp;TEXT(ROW()-11,"##")&amp;"]","")</f>
        <v>[Module2-5]</v>
      </c>
      <c r="B16" s="55" t="s">
        <v>91</v>
      </c>
      <c r="C16" s="91" t="s">
        <v>92</v>
      </c>
      <c r="D16" s="55" t="s">
        <v>93</v>
      </c>
      <c r="E16" s="55"/>
      <c r="F16" s="55" t="s">
        <v>36</v>
      </c>
      <c r="G16" s="90"/>
      <c r="H16" s="60"/>
      <c r="I16" s="57"/>
    </row>
    <row r="17" spans="1:9" ht="28">
      <c r="A17" s="55" t="str">
        <f t="shared" ref="A17:A20" si="1">IF(OR(B17&lt;&gt;"",D17&lt;&gt;""),"["&amp;TEXT($B$2,"##")&amp;"-"&amp;TEXT(ROW()-11,"##")&amp;"]","")</f>
        <v>[Module2-6]</v>
      </c>
      <c r="B17" s="99" t="s">
        <v>94</v>
      </c>
      <c r="C17" s="102" t="s">
        <v>92</v>
      </c>
      <c r="D17" s="143" t="s">
        <v>95</v>
      </c>
      <c r="E17" s="55"/>
      <c r="F17" s="55" t="s">
        <v>36</v>
      </c>
      <c r="G17" s="90"/>
      <c r="H17" s="60"/>
      <c r="I17" s="57"/>
    </row>
    <row r="18" spans="1:9" ht="28">
      <c r="A18" s="55" t="str">
        <f t="shared" si="1"/>
        <v>[Module2-7]</v>
      </c>
      <c r="B18" s="55" t="s">
        <v>96</v>
      </c>
      <c r="C18" s="138" t="s">
        <v>97</v>
      </c>
      <c r="D18" s="55" t="s">
        <v>98</v>
      </c>
      <c r="E18" s="55"/>
      <c r="F18" s="55" t="s">
        <v>36</v>
      </c>
      <c r="G18" s="90"/>
      <c r="H18" s="60"/>
      <c r="I18" s="57"/>
    </row>
    <row r="19" spans="1:9" ht="28">
      <c r="A19" s="55" t="str">
        <f t="shared" si="1"/>
        <v>[Module2-8]</v>
      </c>
      <c r="B19" s="55" t="s">
        <v>99</v>
      </c>
      <c r="C19" s="55" t="s">
        <v>100</v>
      </c>
      <c r="D19" s="55" t="s">
        <v>101</v>
      </c>
      <c r="E19" s="55"/>
      <c r="F19" s="55" t="s">
        <v>36</v>
      </c>
      <c r="G19" s="90"/>
      <c r="H19" s="60"/>
      <c r="I19" s="57"/>
    </row>
    <row r="20" spans="1:9" ht="42">
      <c r="A20" s="55" t="str">
        <f t="shared" si="1"/>
        <v>[Module2-9]</v>
      </c>
      <c r="B20" s="55" t="s">
        <v>102</v>
      </c>
      <c r="C20" s="55" t="s">
        <v>103</v>
      </c>
      <c r="D20" s="55" t="s">
        <v>104</v>
      </c>
      <c r="E20" s="55"/>
      <c r="F20" s="55" t="s">
        <v>36</v>
      </c>
      <c r="G20" s="90"/>
      <c r="H20" s="60"/>
      <c r="I20" s="57"/>
    </row>
    <row r="21" spans="1:9" ht="42">
      <c r="A21" s="91" t="str">
        <f>IF(OR(B21&lt;&gt;"",D21&lt;&gt;""),"["&amp;TEXT($B$2,"##")&amp;"-"&amp;TEXT(ROW()-11,"##")&amp;"]","")</f>
        <v>[Module2-10]</v>
      </c>
      <c r="B21" s="91" t="s">
        <v>105</v>
      </c>
      <c r="C21" s="91" t="s">
        <v>103</v>
      </c>
      <c r="D21" s="91" t="s">
        <v>106</v>
      </c>
      <c r="E21" s="91"/>
      <c r="F21" s="91" t="s">
        <v>36</v>
      </c>
      <c r="G21" s="124"/>
      <c r="H21" s="100"/>
      <c r="I21" s="57"/>
    </row>
    <row r="22" spans="1:9" ht="56">
      <c r="A22" s="102" t="str">
        <f>IF(OR(B22&lt;&gt;"",D22&lt;&gt;""),"["&amp;TEXT($B$2,"##")&amp;"-"&amp;TEXT(ROW()-11,"##")&amp;"]","")</f>
        <v>[Module2-11]</v>
      </c>
      <c r="B22" s="140" t="s">
        <v>107</v>
      </c>
      <c r="C22" s="91" t="s">
        <v>108</v>
      </c>
      <c r="D22" s="102" t="s">
        <v>109</v>
      </c>
      <c r="E22" s="102"/>
      <c r="F22" s="102" t="s">
        <v>36</v>
      </c>
      <c r="G22" s="104"/>
      <c r="H22" s="130"/>
      <c r="I22" s="57"/>
    </row>
  </sheetData>
  <autoFilter ref="A8:H21" xr:uid="{00000000-0009-0000-0000-000004000000}"/>
  <mergeCells count="5">
    <mergeCell ref="E6:F6"/>
    <mergeCell ref="B2:F2"/>
    <mergeCell ref="B3:F3"/>
    <mergeCell ref="B4:F4"/>
    <mergeCell ref="E5:F5"/>
  </mergeCells>
  <phoneticPr fontId="0" type="noConversion"/>
  <dataValidations count="1">
    <dataValidation type="list" allowBlank="1" showErrorMessage="1" sqref="F1:F3 F7:F142" xr:uid="{00000000-0002-0000-0400-000000000000}">
      <formula1>$J$2:$J$6</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C2A4C-7B23-4F27-B27E-E6A227FDF2BA}">
  <dimension ref="A1:J16"/>
  <sheetViews>
    <sheetView zoomScale="61" workbookViewId="0">
      <selection activeCell="B26" sqref="B26"/>
    </sheetView>
  </sheetViews>
  <sheetFormatPr baseColWidth="10" defaultColWidth="9" defaultRowHeight="13"/>
  <cols>
    <col min="1" max="1" width="17.33203125" style="2" customWidth="1"/>
    <col min="2" max="2" width="37.1640625" style="2" customWidth="1"/>
    <col min="3" max="3" width="40.6640625" style="2" customWidth="1"/>
    <col min="4" max="4" width="30.1640625" style="2" customWidth="1"/>
    <col min="5" max="5" width="16.83203125" style="2" customWidth="1"/>
    <col min="6" max="6" width="7.1640625" style="2" customWidth="1"/>
    <col min="7" max="7" width="9.33203125" style="2" bestFit="1" customWidth="1"/>
    <col min="8" max="8" width="17.6640625" style="2" customWidth="1"/>
    <col min="9" max="9" width="8.1640625" style="29" customWidth="1"/>
    <col min="10" max="10" width="0" style="2" hidden="1" customWidth="1"/>
    <col min="11" max="16384" width="9" style="2"/>
  </cols>
  <sheetData>
    <row r="1" spans="1:10" s="35" customFormat="1">
      <c r="A1" s="30"/>
      <c r="B1" s="31"/>
      <c r="C1" s="31"/>
      <c r="D1" s="31"/>
      <c r="E1" s="31"/>
      <c r="F1" s="32"/>
      <c r="G1" s="33"/>
      <c r="H1" s="10"/>
      <c r="I1" s="34"/>
    </row>
    <row r="2" spans="1:10" s="35" customFormat="1" ht="15" customHeight="1">
      <c r="A2" s="36" t="s">
        <v>45</v>
      </c>
      <c r="B2" s="165" t="s">
        <v>17</v>
      </c>
      <c r="C2" s="165"/>
      <c r="D2" s="165"/>
      <c r="E2" s="165"/>
      <c r="F2" s="165"/>
      <c r="G2" s="10"/>
      <c r="H2" s="10"/>
      <c r="I2" s="34"/>
      <c r="J2" s="35" t="s">
        <v>36</v>
      </c>
    </row>
    <row r="3" spans="1:10" s="35" customFormat="1" ht="25.5" customHeight="1">
      <c r="A3" s="37" t="s">
        <v>47</v>
      </c>
      <c r="B3" s="165" t="s">
        <v>110</v>
      </c>
      <c r="C3" s="165"/>
      <c r="D3" s="165"/>
      <c r="E3" s="165"/>
      <c r="F3" s="165"/>
      <c r="G3" s="10"/>
      <c r="H3" s="10"/>
      <c r="I3" s="34"/>
      <c r="J3" s="35" t="s">
        <v>37</v>
      </c>
    </row>
    <row r="4" spans="1:10" s="35" customFormat="1" ht="18" customHeight="1">
      <c r="A4" s="36" t="s">
        <v>49</v>
      </c>
      <c r="B4" s="166"/>
      <c r="C4" s="166"/>
      <c r="D4" s="166"/>
      <c r="E4" s="166"/>
      <c r="F4" s="166"/>
      <c r="G4" s="10"/>
      <c r="H4" s="10"/>
      <c r="I4" s="34"/>
      <c r="J4" s="38"/>
    </row>
    <row r="5" spans="1:10" s="35" customFormat="1" ht="19.5" customHeight="1">
      <c r="A5" s="39" t="s">
        <v>36</v>
      </c>
      <c r="B5" s="40" t="s">
        <v>37</v>
      </c>
      <c r="C5" s="40" t="s">
        <v>38</v>
      </c>
      <c r="D5" s="41" t="s">
        <v>39</v>
      </c>
      <c r="E5" s="167" t="s">
        <v>50</v>
      </c>
      <c r="F5" s="167"/>
      <c r="G5" s="42"/>
      <c r="H5" s="42"/>
      <c r="I5" s="43"/>
      <c r="J5" s="35" t="s">
        <v>51</v>
      </c>
    </row>
    <row r="6" spans="1:10" s="35" customFormat="1" ht="15" customHeight="1">
      <c r="A6" s="59">
        <f>COUNTIF(F9:F990,"Pass")</f>
        <v>7</v>
      </c>
      <c r="B6" s="45">
        <f>COUNTIF(F9:F990,"Fail")</f>
        <v>0</v>
      </c>
      <c r="C6" s="45">
        <f>E6-D6-B6-A6</f>
        <v>0</v>
      </c>
      <c r="D6" s="46">
        <f>COUNTIF(F$9:F$990,"N/A")</f>
        <v>0</v>
      </c>
      <c r="E6" s="164">
        <f>COUNTA(A9:A990)</f>
        <v>7</v>
      </c>
      <c r="F6" s="164"/>
      <c r="G6" s="42"/>
      <c r="H6" s="42"/>
      <c r="I6" s="43"/>
      <c r="J6" s="35" t="s">
        <v>39</v>
      </c>
    </row>
    <row r="7" spans="1:10" s="35" customFormat="1" ht="15" customHeight="1">
      <c r="D7" s="47"/>
      <c r="E7" s="47"/>
      <c r="F7" s="47"/>
      <c r="G7" s="47"/>
      <c r="H7" s="47"/>
      <c r="I7" s="43"/>
    </row>
    <row r="8" spans="1:10" s="35" customFormat="1" ht="25.5" customHeight="1">
      <c r="A8" s="48" t="s">
        <v>52</v>
      </c>
      <c r="B8" s="48" t="s">
        <v>53</v>
      </c>
      <c r="C8" s="48" t="s">
        <v>54</v>
      </c>
      <c r="D8" s="48" t="s">
        <v>55</v>
      </c>
      <c r="E8" s="49" t="s">
        <v>56</v>
      </c>
      <c r="F8" s="49" t="s">
        <v>57</v>
      </c>
      <c r="G8" s="49" t="s">
        <v>58</v>
      </c>
      <c r="H8" s="48" t="s">
        <v>59</v>
      </c>
      <c r="I8" s="50"/>
    </row>
    <row r="9" spans="1:10" s="35" customFormat="1" ht="15" customHeight="1">
      <c r="A9" s="51"/>
      <c r="B9" s="51" t="s">
        <v>16</v>
      </c>
      <c r="C9" s="52"/>
      <c r="D9" s="52"/>
      <c r="E9" s="52"/>
      <c r="F9" s="52"/>
      <c r="G9" s="52"/>
      <c r="H9" s="53"/>
      <c r="I9" s="54"/>
    </row>
    <row r="10" spans="1:10" ht="28">
      <c r="A10" s="55" t="str">
        <f>IF(OR(B10&lt;&gt;"",D10&lt;&gt;""),"["&amp;TEXT($B$2,"##")&amp;"-"&amp;TEXT(ROW()-10,"##")&amp;"]","")</f>
        <v>[Module3-]</v>
      </c>
      <c r="B10" s="135" t="s">
        <v>111</v>
      </c>
      <c r="C10" s="55" t="s">
        <v>112</v>
      </c>
      <c r="D10" s="58" t="s">
        <v>113</v>
      </c>
      <c r="E10" s="58"/>
      <c r="F10" s="55" t="s">
        <v>36</v>
      </c>
      <c r="G10" s="90"/>
      <c r="H10" s="60"/>
      <c r="I10" s="57"/>
    </row>
    <row r="11" spans="1:10" ht="28">
      <c r="A11" s="55" t="str">
        <f>IF(OR(B11&lt;&gt;"",D11&lt;&gt;""),"["&amp;TEXT($B$2,"##")&amp;"-"&amp;TEXT(ROW()-10,"##")&amp;"]","")</f>
        <v>[Module3-1]</v>
      </c>
      <c r="B11" s="142" t="s">
        <v>114</v>
      </c>
      <c r="C11" s="143" t="s">
        <v>115</v>
      </c>
      <c r="D11" s="58" t="s">
        <v>116</v>
      </c>
      <c r="E11" s="58"/>
      <c r="F11" s="55" t="s">
        <v>36</v>
      </c>
      <c r="G11" s="90"/>
      <c r="H11" s="60"/>
      <c r="I11" s="57"/>
    </row>
    <row r="12" spans="1:10" ht="28">
      <c r="A12" s="55" t="str">
        <f>IF(OR(B12&lt;&gt;"",D12&lt;&gt;""),"["&amp;TEXT($B$2,"##")&amp;"-"&amp;TEXT(ROW()-10,"##")&amp;"]","")</f>
        <v>[Module3-2]</v>
      </c>
      <c r="B12" s="102" t="s">
        <v>117</v>
      </c>
      <c r="C12" s="143" t="s">
        <v>115</v>
      </c>
      <c r="D12" s="58" t="s">
        <v>118</v>
      </c>
      <c r="E12" s="58"/>
      <c r="F12" s="55" t="s">
        <v>36</v>
      </c>
      <c r="G12" s="90"/>
      <c r="H12" s="60"/>
      <c r="I12" s="57"/>
    </row>
    <row r="13" spans="1:10" ht="70">
      <c r="A13" s="110" t="str">
        <f t="shared" ref="A13:A15" si="0">IF(OR(B13&lt;&gt;"",D13&lt;&gt;""),"["&amp;TEXT($B$2,"##")&amp;"-"&amp;TEXT(ROW()-10,"##")&amp;"]","")</f>
        <v>[Module3-3]</v>
      </c>
      <c r="B13" s="110" t="s">
        <v>119</v>
      </c>
      <c r="C13" s="110" t="s">
        <v>120</v>
      </c>
      <c r="D13" s="132" t="s">
        <v>121</v>
      </c>
      <c r="E13" s="119"/>
      <c r="F13" s="110" t="s">
        <v>36</v>
      </c>
      <c r="G13" s="120"/>
      <c r="H13" s="139"/>
      <c r="I13" s="57"/>
    </row>
    <row r="14" spans="1:10" ht="70">
      <c r="A14" s="102" t="str">
        <f>IF(OR(B14&lt;&gt;"",D14&lt;&gt;""),"["&amp;TEXT($B$2,"##")&amp;"-"&amp;TEXT(ROW()-10,"##")&amp;"]","")</f>
        <v>[Module3-4]</v>
      </c>
      <c r="B14" s="102" t="s">
        <v>122</v>
      </c>
      <c r="C14" s="102" t="s">
        <v>120</v>
      </c>
      <c r="D14" s="132" t="s">
        <v>123</v>
      </c>
      <c r="E14" s="103"/>
      <c r="F14" s="102" t="s">
        <v>36</v>
      </c>
      <c r="G14" s="104"/>
      <c r="H14" s="130"/>
      <c r="I14" s="57"/>
    </row>
    <row r="15" spans="1:10" ht="56">
      <c r="A15" s="133" t="str">
        <f t="shared" si="0"/>
        <v>[Module3-5]</v>
      </c>
      <c r="B15" s="127" t="s">
        <v>124</v>
      </c>
      <c r="C15" s="127" t="s">
        <v>125</v>
      </c>
      <c r="D15" s="128" t="s">
        <v>126</v>
      </c>
      <c r="E15" s="128"/>
      <c r="F15" s="127" t="s">
        <v>36</v>
      </c>
      <c r="G15" s="126"/>
      <c r="H15" s="131"/>
      <c r="I15" s="57"/>
    </row>
    <row r="16" spans="1:10" ht="42">
      <c r="A16" s="55" t="str">
        <f>IF(OR(B16&lt;&gt;"",D16&lt;&gt;""),"["&amp;TEXT($B$2,"##")&amp;"-"&amp;TEXT(ROW()-11,"##")&amp;"]","")</f>
        <v>[Module3-5]</v>
      </c>
      <c r="B16" s="55" t="s">
        <v>127</v>
      </c>
      <c r="C16" s="55" t="s">
        <v>128</v>
      </c>
      <c r="D16" s="55" t="s">
        <v>129</v>
      </c>
      <c r="E16" s="55"/>
      <c r="F16" s="55" t="s">
        <v>36</v>
      </c>
      <c r="G16" s="90"/>
      <c r="H16" s="60"/>
      <c r="I16" s="57"/>
    </row>
  </sheetData>
  <autoFilter ref="A8:J8" xr:uid="{5D8C2A4C-7B23-4F27-B27E-E6A227FDF2BA}"/>
  <mergeCells count="5">
    <mergeCell ref="E6:F6"/>
    <mergeCell ref="B2:F2"/>
    <mergeCell ref="B3:F3"/>
    <mergeCell ref="E5:F5"/>
    <mergeCell ref="B4:F4"/>
  </mergeCells>
  <dataValidations count="1">
    <dataValidation type="list" allowBlank="1" showErrorMessage="1" sqref="F1:F3 F7:F136" xr:uid="{57A98AFA-E3D0-47FC-A932-83E782DEF9BC}">
      <formula1>$J$2:$J$6</formula1>
      <formula2>0</formula2>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0FEFE-8D5C-416A-9C43-CA3F0470332B}">
  <dimension ref="A1:J15"/>
  <sheetViews>
    <sheetView zoomScale="75" workbookViewId="0">
      <selection activeCell="A16" sqref="A16:XFD24"/>
    </sheetView>
  </sheetViews>
  <sheetFormatPr baseColWidth="10" defaultColWidth="9" defaultRowHeight="13"/>
  <cols>
    <col min="1" max="1" width="17.33203125" style="2" customWidth="1"/>
    <col min="2" max="2" width="37.1640625" style="2" customWidth="1"/>
    <col min="3" max="3" width="40.6640625" style="2" customWidth="1"/>
    <col min="4" max="4" width="30.1640625" style="2" customWidth="1"/>
    <col min="5" max="5" width="16.83203125" style="2" customWidth="1"/>
    <col min="6" max="6" width="7.1640625" style="2" customWidth="1"/>
    <col min="7" max="7" width="9.33203125" style="2" bestFit="1" customWidth="1"/>
    <col min="8" max="8" width="17.6640625" style="2" customWidth="1"/>
    <col min="9" max="9" width="8.1640625" style="29" customWidth="1"/>
    <col min="10" max="10" width="0" style="2" hidden="1" customWidth="1"/>
    <col min="11" max="16384" width="9" style="2"/>
  </cols>
  <sheetData>
    <row r="1" spans="1:10" s="35" customFormat="1">
      <c r="A1" s="30"/>
      <c r="B1" s="31"/>
      <c r="C1" s="31"/>
      <c r="D1" s="31"/>
      <c r="E1" s="31"/>
      <c r="F1" s="32"/>
      <c r="G1" s="33"/>
      <c r="H1" s="10"/>
      <c r="I1" s="34"/>
    </row>
    <row r="2" spans="1:10" s="35" customFormat="1" ht="15" customHeight="1">
      <c r="A2" s="36" t="s">
        <v>45</v>
      </c>
      <c r="B2" s="165" t="s">
        <v>19</v>
      </c>
      <c r="C2" s="165"/>
      <c r="D2" s="165"/>
      <c r="E2" s="165"/>
      <c r="F2" s="165"/>
      <c r="G2" s="10"/>
      <c r="H2" s="10"/>
      <c r="I2" s="34"/>
      <c r="J2" s="35" t="s">
        <v>36</v>
      </c>
    </row>
    <row r="3" spans="1:10" s="35" customFormat="1" ht="25.5" customHeight="1">
      <c r="A3" s="37" t="s">
        <v>47</v>
      </c>
      <c r="B3" s="165" t="s">
        <v>130</v>
      </c>
      <c r="C3" s="165"/>
      <c r="D3" s="165"/>
      <c r="E3" s="165"/>
      <c r="F3" s="165"/>
      <c r="G3" s="10"/>
      <c r="H3" s="10"/>
      <c r="I3" s="34"/>
      <c r="J3" s="35" t="s">
        <v>37</v>
      </c>
    </row>
    <row r="4" spans="1:10" s="35" customFormat="1" ht="18" customHeight="1">
      <c r="A4" s="36" t="s">
        <v>49</v>
      </c>
      <c r="B4" s="166"/>
      <c r="C4" s="166"/>
      <c r="D4" s="166"/>
      <c r="E4" s="166"/>
      <c r="F4" s="166"/>
      <c r="G4" s="10"/>
      <c r="H4" s="10"/>
      <c r="I4" s="34"/>
      <c r="J4" s="38"/>
    </row>
    <row r="5" spans="1:10" s="35" customFormat="1" ht="19.5" customHeight="1">
      <c r="A5" s="39" t="s">
        <v>36</v>
      </c>
      <c r="B5" s="40" t="s">
        <v>37</v>
      </c>
      <c r="C5" s="40" t="s">
        <v>38</v>
      </c>
      <c r="D5" s="41" t="s">
        <v>39</v>
      </c>
      <c r="E5" s="167" t="s">
        <v>50</v>
      </c>
      <c r="F5" s="167"/>
      <c r="G5" s="42"/>
      <c r="H5" s="42"/>
      <c r="I5" s="43"/>
      <c r="J5" s="35" t="s">
        <v>51</v>
      </c>
    </row>
    <row r="6" spans="1:10" s="35" customFormat="1" ht="15" customHeight="1">
      <c r="A6" s="59">
        <f>COUNTIF(F9:F988,"Pass")</f>
        <v>4</v>
      </c>
      <c r="B6" s="45">
        <f>COUNTIF(F9:F988,"Fail")</f>
        <v>2</v>
      </c>
      <c r="C6" s="45">
        <f>E6-D6-B6-A6</f>
        <v>0</v>
      </c>
      <c r="D6" s="46">
        <f>COUNTIF(F$9:F$988,"N/A")</f>
        <v>0</v>
      </c>
      <c r="E6" s="164">
        <f>COUNTA(A9:A988)</f>
        <v>6</v>
      </c>
      <c r="F6" s="164"/>
      <c r="G6" s="42"/>
      <c r="H6" s="42"/>
      <c r="I6" s="43"/>
      <c r="J6" s="35" t="s">
        <v>39</v>
      </c>
    </row>
    <row r="7" spans="1:10" s="35" customFormat="1" ht="15" customHeight="1">
      <c r="D7" s="47"/>
      <c r="E7" s="47"/>
      <c r="F7" s="47"/>
      <c r="G7" s="47"/>
      <c r="H7" s="47"/>
      <c r="I7" s="43"/>
    </row>
    <row r="8" spans="1:10" s="35" customFormat="1" ht="25.5" customHeight="1">
      <c r="A8" s="48" t="s">
        <v>52</v>
      </c>
      <c r="B8" s="48" t="s">
        <v>53</v>
      </c>
      <c r="C8" s="48" t="s">
        <v>54</v>
      </c>
      <c r="D8" s="48" t="s">
        <v>55</v>
      </c>
      <c r="E8" s="49" t="s">
        <v>56</v>
      </c>
      <c r="F8" s="49" t="s">
        <v>57</v>
      </c>
      <c r="G8" s="49" t="s">
        <v>58</v>
      </c>
      <c r="H8" s="48" t="s">
        <v>59</v>
      </c>
      <c r="I8" s="50"/>
    </row>
    <row r="9" spans="1:10" s="35" customFormat="1" ht="15" customHeight="1">
      <c r="A9" s="51"/>
      <c r="B9" s="51" t="s">
        <v>18</v>
      </c>
      <c r="C9" s="52"/>
      <c r="D9" s="52"/>
      <c r="E9" s="52"/>
      <c r="F9" s="52"/>
      <c r="G9" s="52"/>
      <c r="H9" s="53"/>
      <c r="I9" s="54"/>
    </row>
    <row r="10" spans="1:10" ht="42">
      <c r="A10" s="55" t="str">
        <f t="shared" ref="A10:A15" si="0">IF(OR(B10&lt;&gt;"",D10&lt;&gt;""),"["&amp;TEXT($B$2,"##")&amp;"-"&amp;TEXT(ROW()-10,"##")&amp;"]","")</f>
        <v>[Module4-]</v>
      </c>
      <c r="B10" s="91" t="s">
        <v>131</v>
      </c>
      <c r="C10" s="55" t="s">
        <v>132</v>
      </c>
      <c r="D10" s="58" t="s">
        <v>133</v>
      </c>
      <c r="E10" s="58"/>
      <c r="F10" s="55" t="s">
        <v>36</v>
      </c>
      <c r="G10" s="90"/>
      <c r="H10" s="60"/>
      <c r="I10" s="57"/>
    </row>
    <row r="11" spans="1:10" ht="42">
      <c r="A11" s="55" t="str">
        <f t="shared" si="0"/>
        <v>[Module4-1]</v>
      </c>
      <c r="B11" s="142" t="s">
        <v>134</v>
      </c>
      <c r="C11" s="143" t="s">
        <v>132</v>
      </c>
      <c r="D11" s="58" t="s">
        <v>135</v>
      </c>
      <c r="E11" s="58"/>
      <c r="F11" s="55" t="s">
        <v>36</v>
      </c>
      <c r="G11" s="90"/>
      <c r="H11" s="60" t="s">
        <v>136</v>
      </c>
      <c r="I11" s="57"/>
    </row>
    <row r="12" spans="1:10" ht="42">
      <c r="A12" s="55" t="str">
        <f t="shared" si="0"/>
        <v>[Module4-2]</v>
      </c>
      <c r="B12" s="135" t="s">
        <v>137</v>
      </c>
      <c r="C12" s="55" t="s">
        <v>138</v>
      </c>
      <c r="D12" s="58" t="s">
        <v>139</v>
      </c>
      <c r="E12" s="58"/>
      <c r="F12" s="55" t="s">
        <v>37</v>
      </c>
      <c r="G12" s="90"/>
      <c r="H12" s="60" t="s">
        <v>136</v>
      </c>
      <c r="I12" s="57"/>
    </row>
    <row r="13" spans="1:10" ht="66" customHeight="1">
      <c r="A13" s="55" t="str">
        <f>IF(OR(B13&lt;&gt;"",D13&lt;&gt;""),"["&amp;TEXT($B$2,"##")&amp;"-"&amp;TEXT(ROW()-10,"##")&amp;"]","")</f>
        <v>[Module4-3]</v>
      </c>
      <c r="B13" s="55" t="s">
        <v>140</v>
      </c>
      <c r="C13" s="55" t="s">
        <v>141</v>
      </c>
      <c r="D13" s="58" t="s">
        <v>142</v>
      </c>
      <c r="E13" s="58"/>
      <c r="F13" s="55" t="s">
        <v>36</v>
      </c>
      <c r="G13" s="90"/>
      <c r="H13" s="60" t="s">
        <v>136</v>
      </c>
      <c r="I13" s="57"/>
    </row>
    <row r="14" spans="1:10" ht="70">
      <c r="A14" s="91" t="str">
        <f t="shared" si="0"/>
        <v>[Module4-4]</v>
      </c>
      <c r="B14" s="91" t="s">
        <v>143</v>
      </c>
      <c r="C14" s="91" t="s">
        <v>144</v>
      </c>
      <c r="D14" s="98" t="s">
        <v>145</v>
      </c>
      <c r="E14" s="98"/>
      <c r="F14" s="91" t="s">
        <v>36</v>
      </c>
      <c r="G14" s="124"/>
      <c r="H14" s="100" t="s">
        <v>136</v>
      </c>
      <c r="I14" s="57"/>
    </row>
    <row r="15" spans="1:10" ht="70">
      <c r="A15" s="102" t="str">
        <f t="shared" si="0"/>
        <v>[Module4-5]</v>
      </c>
      <c r="B15" s="152" t="s">
        <v>146</v>
      </c>
      <c r="C15" s="97" t="s">
        <v>144</v>
      </c>
      <c r="D15" s="103" t="s">
        <v>147</v>
      </c>
      <c r="E15" s="103"/>
      <c r="F15" s="102" t="s">
        <v>37</v>
      </c>
      <c r="G15" s="104"/>
      <c r="H15" s="130" t="s">
        <v>136</v>
      </c>
      <c r="I15" s="57"/>
    </row>
  </sheetData>
  <autoFilter ref="A8:J8" xr:uid="{5F70FEFE-8D5C-416A-9C43-CA3F0470332B}"/>
  <mergeCells count="5">
    <mergeCell ref="B2:F2"/>
    <mergeCell ref="B3:F3"/>
    <mergeCell ref="B4:F4"/>
    <mergeCell ref="E5:F5"/>
    <mergeCell ref="E6:F6"/>
  </mergeCells>
  <dataValidations count="1">
    <dataValidation type="list" allowBlank="1" showErrorMessage="1" sqref="F1:F3 F7:F134" xr:uid="{A4EDBD3D-E433-48D5-A5E1-DF9D29A0343F}">
      <formula1>$J$2:$J$6</formula1>
      <formula2>0</formula2>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39189-2068-4C81-9D92-21531F1CD762}">
  <dimension ref="A1:J17"/>
  <sheetViews>
    <sheetView topLeftCell="A5" workbookViewId="0">
      <selection activeCell="B19" sqref="B19"/>
    </sheetView>
  </sheetViews>
  <sheetFormatPr baseColWidth="10" defaultColWidth="9" defaultRowHeight="13"/>
  <cols>
    <col min="1" max="1" width="17.33203125" style="2" customWidth="1"/>
    <col min="2" max="2" width="37.1640625" style="2" customWidth="1"/>
    <col min="3" max="3" width="40.6640625" style="2" customWidth="1"/>
    <col min="4" max="4" width="30.1640625" style="2" customWidth="1"/>
    <col min="5" max="5" width="16.83203125" style="2" customWidth="1"/>
    <col min="6" max="6" width="7.1640625" style="2" customWidth="1"/>
    <col min="7" max="7" width="9.33203125" style="2" bestFit="1" customWidth="1"/>
    <col min="8" max="8" width="17.6640625" style="2" customWidth="1"/>
    <col min="9" max="9" width="8.1640625" style="29" customWidth="1"/>
    <col min="10" max="10" width="0" style="2" hidden="1" customWidth="1"/>
    <col min="11" max="16384" width="9" style="2"/>
  </cols>
  <sheetData>
    <row r="1" spans="1:10" s="35" customFormat="1">
      <c r="A1" s="30"/>
      <c r="B1" s="31"/>
      <c r="C1" s="31"/>
      <c r="D1" s="31"/>
      <c r="E1" s="31"/>
      <c r="F1" s="32"/>
      <c r="G1" s="33"/>
      <c r="H1" s="10"/>
      <c r="I1" s="34"/>
    </row>
    <row r="2" spans="1:10" s="35" customFormat="1" ht="15" customHeight="1">
      <c r="A2" s="36" t="s">
        <v>45</v>
      </c>
      <c r="B2" s="165" t="s">
        <v>21</v>
      </c>
      <c r="C2" s="165"/>
      <c r="D2" s="165"/>
      <c r="E2" s="165"/>
      <c r="F2" s="165"/>
      <c r="G2" s="10"/>
      <c r="H2" s="10"/>
      <c r="I2" s="34"/>
      <c r="J2" s="35" t="s">
        <v>36</v>
      </c>
    </row>
    <row r="3" spans="1:10" s="35" customFormat="1" ht="25.5" customHeight="1">
      <c r="A3" s="37" t="s">
        <v>47</v>
      </c>
      <c r="B3" s="165" t="s">
        <v>151</v>
      </c>
      <c r="C3" s="165"/>
      <c r="D3" s="165"/>
      <c r="E3" s="165"/>
      <c r="F3" s="165"/>
      <c r="G3" s="10"/>
      <c r="H3" s="10"/>
      <c r="I3" s="34"/>
      <c r="J3" s="35" t="s">
        <v>37</v>
      </c>
    </row>
    <row r="4" spans="1:10" s="35" customFormat="1" ht="18" customHeight="1">
      <c r="A4" s="36" t="s">
        <v>49</v>
      </c>
      <c r="B4" s="166"/>
      <c r="C4" s="166"/>
      <c r="D4" s="166"/>
      <c r="E4" s="166"/>
      <c r="F4" s="166"/>
      <c r="G4" s="10"/>
      <c r="H4" s="10"/>
      <c r="I4" s="34"/>
      <c r="J4" s="38"/>
    </row>
    <row r="5" spans="1:10" s="35" customFormat="1" ht="19.5" customHeight="1">
      <c r="A5" s="39" t="s">
        <v>36</v>
      </c>
      <c r="B5" s="40" t="s">
        <v>37</v>
      </c>
      <c r="C5" s="40" t="s">
        <v>38</v>
      </c>
      <c r="D5" s="41" t="s">
        <v>39</v>
      </c>
      <c r="E5" s="167" t="s">
        <v>50</v>
      </c>
      <c r="F5" s="167"/>
      <c r="G5" s="42"/>
      <c r="H5" s="42"/>
      <c r="I5" s="43"/>
      <c r="J5" s="35" t="s">
        <v>51</v>
      </c>
    </row>
    <row r="6" spans="1:10" s="35" customFormat="1" ht="15" customHeight="1">
      <c r="A6" s="59">
        <f>COUNTIF(F9:F983,"Pass")</f>
        <v>4</v>
      </c>
      <c r="B6" s="45">
        <f>COUNTIF(F9:F983,"Fail")</f>
        <v>4</v>
      </c>
      <c r="C6" s="45">
        <f>E6-D6-B6-A6</f>
        <v>0</v>
      </c>
      <c r="D6" s="46">
        <f>COUNTIF(F$9:F$983,"N/A")</f>
        <v>0</v>
      </c>
      <c r="E6" s="164">
        <f>COUNTA(A9:A983)</f>
        <v>8</v>
      </c>
      <c r="F6" s="164"/>
      <c r="G6" s="42"/>
      <c r="H6" s="42"/>
      <c r="I6" s="43"/>
      <c r="J6" s="35" t="s">
        <v>39</v>
      </c>
    </row>
    <row r="7" spans="1:10" s="35" customFormat="1" ht="15" customHeight="1">
      <c r="D7" s="47"/>
      <c r="E7" s="47"/>
      <c r="F7" s="47"/>
      <c r="G7" s="47"/>
      <c r="H7" s="47"/>
      <c r="I7" s="43"/>
    </row>
    <row r="8" spans="1:10" s="35" customFormat="1" ht="25.5" customHeight="1">
      <c r="A8" s="48" t="s">
        <v>52</v>
      </c>
      <c r="B8" s="48" t="s">
        <v>53</v>
      </c>
      <c r="C8" s="48" t="s">
        <v>54</v>
      </c>
      <c r="D8" s="48" t="s">
        <v>55</v>
      </c>
      <c r="E8" s="49" t="s">
        <v>56</v>
      </c>
      <c r="F8" s="49" t="s">
        <v>57</v>
      </c>
      <c r="G8" s="49" t="s">
        <v>58</v>
      </c>
      <c r="H8" s="48" t="s">
        <v>59</v>
      </c>
      <c r="I8" s="50"/>
    </row>
    <row r="9" spans="1:10" s="35" customFormat="1" ht="15" customHeight="1">
      <c r="A9" s="51"/>
      <c r="B9" s="51" t="s">
        <v>20</v>
      </c>
      <c r="C9" s="52"/>
      <c r="D9" s="52"/>
      <c r="E9" s="52"/>
      <c r="F9" s="52"/>
      <c r="G9" s="52"/>
      <c r="H9" s="53"/>
      <c r="I9" s="54"/>
    </row>
    <row r="10" spans="1:10" ht="42">
      <c r="A10" s="55" t="str">
        <f t="shared" ref="A10:A17" si="0">IF(OR(B10&lt;&gt;"",D10&lt;&gt;""),"["&amp;TEXT($B$2,"##")&amp;"-"&amp;TEXT(ROW()-10,"##")&amp;"]","")</f>
        <v>[Module5-]</v>
      </c>
      <c r="B10" s="55" t="s">
        <v>152</v>
      </c>
      <c r="C10" s="55" t="s">
        <v>153</v>
      </c>
      <c r="D10" s="58" t="s">
        <v>154</v>
      </c>
      <c r="E10" s="58"/>
      <c r="F10" s="102" t="s">
        <v>37</v>
      </c>
      <c r="G10" s="90"/>
      <c r="H10" s="60"/>
      <c r="I10" s="57"/>
    </row>
    <row r="11" spans="1:10" ht="56">
      <c r="A11" s="55" t="str">
        <f t="shared" si="0"/>
        <v>[Module5-1]</v>
      </c>
      <c r="B11" s="151" t="s">
        <v>155</v>
      </c>
      <c r="C11" s="91" t="s">
        <v>156</v>
      </c>
      <c r="D11" s="153" t="s">
        <v>157</v>
      </c>
      <c r="E11" s="107"/>
      <c r="F11" s="106" t="s">
        <v>37</v>
      </c>
      <c r="G11" s="108"/>
      <c r="H11" s="141"/>
      <c r="I11" s="57"/>
    </row>
    <row r="12" spans="1:10" ht="70">
      <c r="A12" s="55" t="str">
        <f t="shared" si="0"/>
        <v>[Module5-2]</v>
      </c>
      <c r="B12" s="102" t="s">
        <v>158</v>
      </c>
      <c r="C12" s="102" t="s">
        <v>159</v>
      </c>
      <c r="D12" s="103" t="s">
        <v>160</v>
      </c>
      <c r="E12" s="103"/>
      <c r="F12" s="102" t="s">
        <v>36</v>
      </c>
      <c r="G12" s="104"/>
      <c r="H12" s="130"/>
      <c r="I12" s="57"/>
    </row>
    <row r="13" spans="1:10" ht="70">
      <c r="A13" s="55" t="str">
        <f t="shared" si="0"/>
        <v>[Module5-3]</v>
      </c>
      <c r="B13" s="102" t="s">
        <v>161</v>
      </c>
      <c r="C13" s="102" t="s">
        <v>162</v>
      </c>
      <c r="D13" s="103" t="s">
        <v>163</v>
      </c>
      <c r="E13" s="103"/>
      <c r="F13" s="102" t="s">
        <v>36</v>
      </c>
      <c r="G13" s="104"/>
      <c r="H13" s="130"/>
      <c r="I13" s="57"/>
    </row>
    <row r="14" spans="1:10" ht="28">
      <c r="A14" s="55" t="str">
        <f t="shared" si="0"/>
        <v>[Module5-4]</v>
      </c>
      <c r="B14" s="102" t="s">
        <v>164</v>
      </c>
      <c r="C14" s="102" t="s">
        <v>165</v>
      </c>
      <c r="D14" s="103" t="s">
        <v>166</v>
      </c>
      <c r="E14" s="103"/>
      <c r="F14" s="102" t="s">
        <v>37</v>
      </c>
      <c r="G14" s="104"/>
      <c r="H14" s="130"/>
      <c r="I14" s="57"/>
    </row>
    <row r="15" spans="1:10" ht="28">
      <c r="A15" s="55" t="str">
        <f t="shared" si="0"/>
        <v>[Module5-5]</v>
      </c>
      <c r="B15" s="102" t="s">
        <v>167</v>
      </c>
      <c r="C15" s="102" t="s">
        <v>168</v>
      </c>
      <c r="D15" s="103" t="s">
        <v>169</v>
      </c>
      <c r="E15" s="103"/>
      <c r="F15" s="102" t="s">
        <v>37</v>
      </c>
      <c r="G15" s="104"/>
      <c r="H15" s="130"/>
      <c r="I15" s="57"/>
    </row>
    <row r="16" spans="1:10" ht="42">
      <c r="A16" s="55" t="str">
        <f t="shared" si="0"/>
        <v>[Module5-6]</v>
      </c>
      <c r="B16" s="125" t="s">
        <v>170</v>
      </c>
      <c r="C16" s="105" t="s">
        <v>171</v>
      </c>
      <c r="D16" s="125" t="s">
        <v>172</v>
      </c>
      <c r="E16" s="125"/>
      <c r="F16" s="125" t="s">
        <v>36</v>
      </c>
      <c r="G16" s="125"/>
      <c r="H16" s="125"/>
    </row>
    <row r="17" spans="1:8" ht="56">
      <c r="A17" s="55" t="str">
        <f t="shared" si="0"/>
        <v>[Module5-7]</v>
      </c>
      <c r="B17" s="125" t="s">
        <v>173</v>
      </c>
      <c r="C17" s="105" t="s">
        <v>174</v>
      </c>
      <c r="D17" s="125" t="s">
        <v>175</v>
      </c>
      <c r="E17" s="125"/>
      <c r="F17" s="125" t="s">
        <v>36</v>
      </c>
      <c r="G17" s="125"/>
      <c r="H17" s="125"/>
    </row>
  </sheetData>
  <autoFilter ref="A8:J8" xr:uid="{D3539189-2068-4C81-9D92-21531F1CD762}"/>
  <mergeCells count="5">
    <mergeCell ref="B2:F2"/>
    <mergeCell ref="B3:F3"/>
    <mergeCell ref="B4:F4"/>
    <mergeCell ref="E5:F5"/>
    <mergeCell ref="E6:F6"/>
  </mergeCells>
  <dataValidations count="1">
    <dataValidation type="list" allowBlank="1" showErrorMessage="1" sqref="F1:F3 F7:F129" xr:uid="{56EFFB4F-6077-4820-908A-C405D1892EBA}">
      <formula1>$J$2:$J$6</formula1>
      <formula2>0</formula2>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7ED9-5EC8-47A6-BB06-9E8A76CF85F3}">
  <dimension ref="A1:J14"/>
  <sheetViews>
    <sheetView topLeftCell="A8" workbookViewId="0">
      <selection activeCell="D21" sqref="D21"/>
    </sheetView>
  </sheetViews>
  <sheetFormatPr baseColWidth="10" defaultColWidth="9" defaultRowHeight="13"/>
  <cols>
    <col min="1" max="1" width="17.33203125" style="2" customWidth="1"/>
    <col min="2" max="2" width="37.1640625" style="2" customWidth="1"/>
    <col min="3" max="3" width="40.6640625" style="2" customWidth="1"/>
    <col min="4" max="4" width="30.1640625" style="2" customWidth="1"/>
    <col min="5" max="5" width="16.83203125" style="2" customWidth="1"/>
    <col min="6" max="6" width="7.1640625" style="2" customWidth="1"/>
    <col min="7" max="7" width="9.33203125" style="2" bestFit="1" customWidth="1"/>
    <col min="8" max="8" width="17.6640625" style="2" customWidth="1"/>
    <col min="9" max="9" width="8.1640625" style="29" customWidth="1"/>
    <col min="10" max="10" width="0" style="2" hidden="1" customWidth="1"/>
    <col min="11" max="16384" width="9" style="2"/>
  </cols>
  <sheetData>
    <row r="1" spans="1:10" s="35" customFormat="1">
      <c r="A1" s="30"/>
      <c r="B1" s="31"/>
      <c r="C1" s="31"/>
      <c r="D1" s="31"/>
      <c r="E1" s="31"/>
      <c r="F1" s="32"/>
      <c r="G1" s="33"/>
      <c r="H1" s="10"/>
      <c r="I1" s="34"/>
    </row>
    <row r="2" spans="1:10" s="35" customFormat="1" ht="15" customHeight="1">
      <c r="A2" s="36" t="s">
        <v>45</v>
      </c>
      <c r="B2" s="165" t="s">
        <v>23</v>
      </c>
      <c r="C2" s="165"/>
      <c r="D2" s="165"/>
      <c r="E2" s="165"/>
      <c r="F2" s="165"/>
      <c r="G2" s="10"/>
      <c r="H2" s="10"/>
      <c r="I2" s="34"/>
      <c r="J2" s="35" t="s">
        <v>36</v>
      </c>
    </row>
    <row r="3" spans="1:10" s="35" customFormat="1" ht="25.5" customHeight="1">
      <c r="A3" s="37" t="s">
        <v>47</v>
      </c>
      <c r="B3" s="165" t="s">
        <v>176</v>
      </c>
      <c r="C3" s="165"/>
      <c r="D3" s="165"/>
      <c r="E3" s="165"/>
      <c r="F3" s="165"/>
      <c r="G3" s="10"/>
      <c r="H3" s="10"/>
      <c r="I3" s="34"/>
      <c r="J3" s="35" t="s">
        <v>37</v>
      </c>
    </row>
    <row r="4" spans="1:10" s="35" customFormat="1" ht="18" customHeight="1">
      <c r="A4" s="36" t="s">
        <v>49</v>
      </c>
      <c r="B4" s="166"/>
      <c r="C4" s="166"/>
      <c r="D4" s="166"/>
      <c r="E4" s="166"/>
      <c r="F4" s="166"/>
      <c r="G4" s="10"/>
      <c r="H4" s="10"/>
      <c r="I4" s="34"/>
      <c r="J4" s="38"/>
    </row>
    <row r="5" spans="1:10" s="35" customFormat="1" ht="19.5" customHeight="1">
      <c r="A5" s="39" t="s">
        <v>36</v>
      </c>
      <c r="B5" s="40" t="s">
        <v>37</v>
      </c>
      <c r="C5" s="40" t="s">
        <v>38</v>
      </c>
      <c r="D5" s="41" t="s">
        <v>39</v>
      </c>
      <c r="E5" s="167" t="s">
        <v>50</v>
      </c>
      <c r="F5" s="167"/>
      <c r="G5" s="42"/>
      <c r="H5" s="42"/>
      <c r="I5" s="43"/>
      <c r="J5" s="35" t="s">
        <v>51</v>
      </c>
    </row>
    <row r="6" spans="1:10" s="35" customFormat="1" ht="15" customHeight="1">
      <c r="A6" s="59">
        <f>COUNTIF(F9:F976,"Pass")</f>
        <v>3</v>
      </c>
      <c r="B6" s="45">
        <f>COUNTIF(F9:F976,"Fail")</f>
        <v>2</v>
      </c>
      <c r="C6" s="45">
        <f>E6-D6-B6-A6</f>
        <v>0</v>
      </c>
      <c r="D6" s="46">
        <f>COUNTIF(F$9:F$976,"N/A")</f>
        <v>0</v>
      </c>
      <c r="E6" s="164">
        <f>COUNTA(A9:A976)</f>
        <v>5</v>
      </c>
      <c r="F6" s="164"/>
      <c r="G6" s="42"/>
      <c r="H6" s="42"/>
      <c r="I6" s="43"/>
      <c r="J6" s="35" t="s">
        <v>39</v>
      </c>
    </row>
    <row r="7" spans="1:10" s="35" customFormat="1" ht="15" customHeight="1">
      <c r="D7" s="47"/>
      <c r="E7" s="47"/>
      <c r="F7" s="47"/>
      <c r="G7" s="47"/>
      <c r="H7" s="47"/>
      <c r="I7" s="43"/>
    </row>
    <row r="8" spans="1:10" s="35" customFormat="1" ht="25.5" customHeight="1">
      <c r="A8" s="48" t="s">
        <v>52</v>
      </c>
      <c r="B8" s="48" t="s">
        <v>53</v>
      </c>
      <c r="C8" s="48" t="s">
        <v>54</v>
      </c>
      <c r="D8" s="48" t="s">
        <v>55</v>
      </c>
      <c r="E8" s="49" t="s">
        <v>56</v>
      </c>
      <c r="F8" s="49" t="s">
        <v>57</v>
      </c>
      <c r="G8" s="49" t="s">
        <v>58</v>
      </c>
      <c r="H8" s="48" t="s">
        <v>59</v>
      </c>
      <c r="I8" s="50"/>
    </row>
    <row r="9" spans="1:10" s="35" customFormat="1" ht="15" customHeight="1">
      <c r="A9" s="51"/>
      <c r="B9" s="51" t="s">
        <v>22</v>
      </c>
      <c r="C9" s="52"/>
      <c r="D9" s="52"/>
      <c r="E9" s="52"/>
      <c r="F9" s="52"/>
      <c r="G9" s="52"/>
      <c r="H9" s="53"/>
      <c r="I9" s="54"/>
    </row>
    <row r="10" spans="1:10" ht="70">
      <c r="A10" s="55" t="str">
        <f t="shared" ref="A10:A12" si="0">IF(OR(B10&lt;&gt;"",D10&lt;&gt;""),"["&amp;TEXT($B$2,"##")&amp;"-"&amp;TEXT(ROW()-10,"##")&amp;"]","")</f>
        <v>[Module6-]</v>
      </c>
      <c r="B10" s="102" t="s">
        <v>148</v>
      </c>
      <c r="C10" s="102" t="s">
        <v>149</v>
      </c>
      <c r="D10" s="102" t="s">
        <v>150</v>
      </c>
      <c r="E10" s="106"/>
      <c r="F10" s="106" t="s">
        <v>36</v>
      </c>
      <c r="G10" s="108"/>
      <c r="H10" s="141"/>
      <c r="I10" s="57"/>
    </row>
    <row r="11" spans="1:10" ht="70">
      <c r="A11" s="55" t="str">
        <f t="shared" si="0"/>
        <v>[Module6-1]</v>
      </c>
      <c r="B11" s="102" t="s">
        <v>177</v>
      </c>
      <c r="C11" s="102" t="s">
        <v>178</v>
      </c>
      <c r="D11" s="134" t="s">
        <v>177</v>
      </c>
      <c r="E11" s="111"/>
      <c r="F11" s="102" t="s">
        <v>36</v>
      </c>
      <c r="G11" s="104"/>
      <c r="H11" s="130"/>
      <c r="I11" s="57"/>
    </row>
    <row r="12" spans="1:10" ht="57.75" customHeight="1">
      <c r="A12" s="55" t="str">
        <f t="shared" si="0"/>
        <v>[Module6-2]</v>
      </c>
      <c r="B12" s="136" t="s">
        <v>179</v>
      </c>
      <c r="C12" s="102" t="s">
        <v>180</v>
      </c>
      <c r="D12" s="137" t="s">
        <v>181</v>
      </c>
      <c r="E12" s="146"/>
      <c r="F12" s="147" t="s">
        <v>37</v>
      </c>
      <c r="G12" s="148"/>
      <c r="H12" s="149"/>
      <c r="I12" s="57"/>
    </row>
    <row r="13" spans="1:10" ht="98">
      <c r="A13" s="110" t="str">
        <f t="shared" ref="A13" si="1">IF(OR(B13&lt;&gt;"",D13&lt;&gt;""),"["&amp;TEXT($B$2,"##")&amp;"-"&amp;TEXT(ROW()-10,"##")&amp;"]","")</f>
        <v>[Module6-3]</v>
      </c>
      <c r="B13" s="110" t="s">
        <v>182</v>
      </c>
      <c r="C13" s="150" t="s">
        <v>183</v>
      </c>
      <c r="D13" s="110" t="s">
        <v>184</v>
      </c>
      <c r="E13" s="110"/>
      <c r="F13" s="110" t="s">
        <v>37</v>
      </c>
      <c r="G13" s="120"/>
      <c r="H13" s="139"/>
      <c r="I13" s="57"/>
    </row>
    <row r="14" spans="1:10" ht="126">
      <c r="A14" s="102" t="str">
        <f t="shared" ref="A14" si="2">IF(OR(B14&lt;&gt;"",D14&lt;&gt;""),"["&amp;TEXT($B$2,"##")&amp;"-"&amp;TEXT(ROW()-10,"##")&amp;"]","")</f>
        <v>[Module6-4]</v>
      </c>
      <c r="B14" s="140" t="s">
        <v>185</v>
      </c>
      <c r="C14" s="105" t="s">
        <v>186</v>
      </c>
      <c r="D14" s="105" t="s">
        <v>187</v>
      </c>
      <c r="E14" s="105"/>
      <c r="F14" s="105" t="s">
        <v>36</v>
      </c>
      <c r="G14" s="105"/>
      <c r="H14" s="105"/>
    </row>
  </sheetData>
  <mergeCells count="5">
    <mergeCell ref="B2:F2"/>
    <mergeCell ref="B3:F3"/>
    <mergeCell ref="B4:F4"/>
    <mergeCell ref="E5:F5"/>
    <mergeCell ref="E6:F6"/>
  </mergeCells>
  <dataValidations count="1">
    <dataValidation type="list" allowBlank="1" showErrorMessage="1" sqref="F1:F3 F7:F122" xr:uid="{1BB5F7B1-9BB0-475F-A794-6B5EF6C1D93E}">
      <formula1>$J$2:$J$6</formula1>
      <formula2>0</formula2>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E61AC-F56F-4223-A6D7-2D5E91BFFB92}">
  <dimension ref="A1:J13"/>
  <sheetViews>
    <sheetView tabSelected="1" workbookViewId="0">
      <selection activeCell="A14" sqref="A14:XFD37"/>
    </sheetView>
  </sheetViews>
  <sheetFormatPr baseColWidth="10" defaultColWidth="9" defaultRowHeight="13"/>
  <cols>
    <col min="1" max="1" width="17.33203125" style="2" customWidth="1"/>
    <col min="2" max="2" width="36.6640625" style="2" customWidth="1"/>
    <col min="3" max="3" width="40.6640625" style="2" customWidth="1"/>
    <col min="4" max="4" width="34.5" style="2" customWidth="1"/>
    <col min="5" max="5" width="16.83203125" style="2" customWidth="1"/>
    <col min="6" max="6" width="7.1640625" style="2" customWidth="1"/>
    <col min="7" max="7" width="9.33203125" style="2" bestFit="1" customWidth="1"/>
    <col min="8" max="8" width="17.6640625" style="2" customWidth="1"/>
    <col min="9" max="9" width="8.1640625" style="29" customWidth="1"/>
    <col min="10" max="10" width="0" style="2" hidden="1" customWidth="1"/>
    <col min="11" max="16384" width="9" style="2"/>
  </cols>
  <sheetData>
    <row r="1" spans="1:10" s="35" customFormat="1">
      <c r="A1" s="30"/>
      <c r="B1" s="31"/>
      <c r="C1" s="31"/>
      <c r="D1" s="31"/>
      <c r="E1" s="31"/>
      <c r="F1" s="32"/>
      <c r="G1" s="33"/>
      <c r="H1" s="10"/>
      <c r="I1" s="34"/>
    </row>
    <row r="2" spans="1:10" s="35" customFormat="1" ht="15" customHeight="1">
      <c r="A2" s="36" t="s">
        <v>45</v>
      </c>
      <c r="B2" s="165" t="s">
        <v>25</v>
      </c>
      <c r="C2" s="165"/>
      <c r="D2" s="165"/>
      <c r="E2" s="165"/>
      <c r="F2" s="165"/>
      <c r="G2" s="10"/>
      <c r="H2" s="10"/>
      <c r="I2" s="34"/>
      <c r="J2" s="35" t="s">
        <v>36</v>
      </c>
    </row>
    <row r="3" spans="1:10" s="35" customFormat="1" ht="25.5" customHeight="1">
      <c r="A3" s="37" t="s">
        <v>47</v>
      </c>
      <c r="B3" s="165" t="s">
        <v>188</v>
      </c>
      <c r="C3" s="165"/>
      <c r="D3" s="165"/>
      <c r="E3" s="165"/>
      <c r="F3" s="165"/>
      <c r="G3" s="10"/>
      <c r="H3" s="10"/>
      <c r="I3" s="34"/>
      <c r="J3" s="35" t="s">
        <v>37</v>
      </c>
    </row>
    <row r="4" spans="1:10" s="35" customFormat="1" ht="18" customHeight="1">
      <c r="A4" s="36" t="s">
        <v>49</v>
      </c>
      <c r="B4" s="166"/>
      <c r="C4" s="166"/>
      <c r="D4" s="166"/>
      <c r="E4" s="166"/>
      <c r="F4" s="166"/>
      <c r="G4" s="10"/>
      <c r="H4" s="10"/>
      <c r="I4" s="34"/>
      <c r="J4" s="38"/>
    </row>
    <row r="5" spans="1:10" s="35" customFormat="1" ht="19.5" customHeight="1">
      <c r="A5" s="39" t="s">
        <v>36</v>
      </c>
      <c r="B5" s="40" t="s">
        <v>37</v>
      </c>
      <c r="C5" s="40" t="s">
        <v>38</v>
      </c>
      <c r="D5" s="41" t="s">
        <v>39</v>
      </c>
      <c r="E5" s="167" t="s">
        <v>50</v>
      </c>
      <c r="F5" s="167"/>
      <c r="G5" s="42"/>
      <c r="H5" s="42"/>
      <c r="I5" s="43"/>
      <c r="J5" s="35" t="s">
        <v>51</v>
      </c>
    </row>
    <row r="6" spans="1:10" s="35" customFormat="1" ht="15" customHeight="1">
      <c r="A6" s="59">
        <f>COUNTIF(F9:F970,"Pass")</f>
        <v>4</v>
      </c>
      <c r="B6" s="45">
        <f>COUNTIF(F9:F970,"Fail")</f>
        <v>0</v>
      </c>
      <c r="C6" s="45">
        <f>E6-D6-B6-A6</f>
        <v>0</v>
      </c>
      <c r="D6" s="46">
        <f>COUNTIF(F$9:F$970,"N/A")</f>
        <v>0</v>
      </c>
      <c r="E6" s="164">
        <f>COUNTA(A9:A970)</f>
        <v>4</v>
      </c>
      <c r="F6" s="164"/>
      <c r="G6" s="42"/>
      <c r="H6" s="42"/>
      <c r="I6" s="43"/>
      <c r="J6" s="35" t="s">
        <v>39</v>
      </c>
    </row>
    <row r="7" spans="1:10" s="35" customFormat="1" ht="15" customHeight="1">
      <c r="D7" s="47"/>
      <c r="E7" s="47"/>
      <c r="F7" s="47"/>
      <c r="G7" s="47"/>
      <c r="H7" s="47"/>
      <c r="I7" s="43"/>
    </row>
    <row r="8" spans="1:10" s="35" customFormat="1" ht="25.5" customHeight="1">
      <c r="A8" s="48" t="s">
        <v>52</v>
      </c>
      <c r="B8" s="48" t="s">
        <v>53</v>
      </c>
      <c r="C8" s="48" t="s">
        <v>54</v>
      </c>
      <c r="D8" s="48" t="s">
        <v>55</v>
      </c>
      <c r="E8" s="49" t="s">
        <v>56</v>
      </c>
      <c r="F8" s="49" t="s">
        <v>57</v>
      </c>
      <c r="G8" s="49" t="s">
        <v>58</v>
      </c>
      <c r="H8" s="48" t="s">
        <v>59</v>
      </c>
      <c r="I8" s="50"/>
    </row>
    <row r="9" spans="1:10" s="35" customFormat="1" ht="15" customHeight="1">
      <c r="A9" s="51"/>
      <c r="B9" s="51" t="s">
        <v>24</v>
      </c>
      <c r="C9" s="52"/>
      <c r="D9" s="52"/>
      <c r="E9" s="52"/>
      <c r="F9" s="52"/>
      <c r="G9" s="52"/>
      <c r="H9" s="53"/>
      <c r="I9" s="54"/>
    </row>
    <row r="10" spans="1:10" ht="56">
      <c r="A10" s="55" t="str">
        <f t="shared" ref="A10:A13" si="0">IF(OR(B10&lt;&gt;"",D10&lt;&gt;""),"["&amp;TEXT($B$2,"##")&amp;"-"&amp;TEXT(ROW()-10,"##")&amp;"]","")</f>
        <v>[Module7-]</v>
      </c>
      <c r="B10" s="55" t="s">
        <v>189</v>
      </c>
      <c r="C10" s="55" t="s">
        <v>190</v>
      </c>
      <c r="D10" s="58" t="s">
        <v>191</v>
      </c>
      <c r="E10" s="58"/>
      <c r="F10" s="55" t="s">
        <v>36</v>
      </c>
      <c r="G10" s="90"/>
      <c r="H10" s="60"/>
      <c r="I10" s="57"/>
    </row>
    <row r="11" spans="1:10" ht="98">
      <c r="A11" s="55" t="str">
        <f t="shared" si="0"/>
        <v>[Module7-1]</v>
      </c>
      <c r="B11" s="55" t="s">
        <v>192</v>
      </c>
      <c r="C11" s="55" t="s">
        <v>193</v>
      </c>
      <c r="D11" s="58" t="s">
        <v>194</v>
      </c>
      <c r="E11" s="58"/>
      <c r="F11" s="55" t="s">
        <v>36</v>
      </c>
      <c r="G11" s="90"/>
      <c r="H11" s="60"/>
      <c r="I11" s="57"/>
    </row>
    <row r="12" spans="1:10" ht="98">
      <c r="A12" s="55" t="str">
        <f t="shared" si="0"/>
        <v>[Module7-2]</v>
      </c>
      <c r="B12" s="55" t="s">
        <v>195</v>
      </c>
      <c r="C12" s="55" t="s">
        <v>196</v>
      </c>
      <c r="D12" s="55" t="s">
        <v>197</v>
      </c>
      <c r="E12" s="98"/>
      <c r="F12" s="91" t="s">
        <v>36</v>
      </c>
      <c r="G12" s="124"/>
      <c r="H12" s="100"/>
      <c r="I12" s="57"/>
    </row>
    <row r="13" spans="1:10" ht="112">
      <c r="A13" s="55" t="str">
        <f t="shared" si="0"/>
        <v>[Module7-3]</v>
      </c>
      <c r="B13" s="91" t="s">
        <v>198</v>
      </c>
      <c r="C13" s="91" t="s">
        <v>199</v>
      </c>
      <c r="D13" s="91" t="s">
        <v>200</v>
      </c>
      <c r="E13" s="107"/>
      <c r="F13" s="106" t="s">
        <v>36</v>
      </c>
      <c r="G13" s="108"/>
      <c r="H13" s="141"/>
      <c r="I13" s="57"/>
    </row>
  </sheetData>
  <mergeCells count="5">
    <mergeCell ref="B2:F2"/>
    <mergeCell ref="B3:F3"/>
    <mergeCell ref="B4:F4"/>
    <mergeCell ref="E5:F5"/>
    <mergeCell ref="E6:F6"/>
  </mergeCells>
  <dataValidations count="1">
    <dataValidation type="list" allowBlank="1" showErrorMessage="1" sqref="F1:F3 F7:F116" xr:uid="{F8CFC356-0AD0-4DC5-9207-7F2948CE2781}">
      <formula1>$J$2:$J$6</formula1>
      <formula2>0</formula2>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67926557F5F54ABA4739F523BC22AC" ma:contentTypeVersion="2" ma:contentTypeDescription="Create a new document." ma:contentTypeScope="" ma:versionID="ceef72d4a4ac8c9a7c87416bf6890a4f">
  <xsd:schema xmlns:xsd="http://www.w3.org/2001/XMLSchema" xmlns:xs="http://www.w3.org/2001/XMLSchema" xmlns:p="http://schemas.microsoft.com/office/2006/metadata/properties" xmlns:ns2="8b9c390e-537d-46e5-b55e-a618b28ef7c0" targetNamespace="http://schemas.microsoft.com/office/2006/metadata/properties" ma:root="true" ma:fieldsID="b602cba39f6d94ba4dc8de129fc6f3db" ns2:_="">
    <xsd:import namespace="8b9c390e-537d-46e5-b55e-a618b28ef7c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9c390e-537d-46e5-b55e-a618b28ef7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D849C6-6D6B-480B-84AB-F31EA85E05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9c390e-537d-46e5-b55e-a618b28ef7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E20E75A-B863-4DC8-907E-947D036B33AE}">
  <ds:schemaRefs>
    <ds:schemaRef ds:uri="http://schemas.microsoft.com/sharepoint/v3/contenttype/forms"/>
  </ds:schemaRefs>
</ds:datastoreItem>
</file>

<file path=customXml/itemProps3.xml><?xml version="1.0" encoding="utf-8"?>
<ds:datastoreItem xmlns:ds="http://schemas.openxmlformats.org/officeDocument/2006/customXml" ds:itemID="{D3E05B01-4064-4D6F-A57B-585C6A8D11C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Test Report</vt:lpstr>
      <vt:lpstr>Test case List</vt:lpstr>
      <vt:lpstr>Module1</vt:lpstr>
      <vt:lpstr>Module2</vt:lpstr>
      <vt:lpstr>Module3</vt:lpstr>
      <vt:lpstr>Module4</vt:lpstr>
      <vt:lpstr>Module5</vt:lpstr>
      <vt:lpstr>Module6</vt:lpstr>
      <vt:lpstr>Module7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Nguyen Thi Thanh</dc:creator>
  <cp:keywords/>
  <dc:description>Updates sheet Cover: Add logo, document code, creator, reviewer/approver._x000d_
Add sheet Test Case List._x000d_
Change Sheet Company, User, Provider to Modules. Add column Inter-test case dependent. Update these sheets._x000d_
Update Test Report</dc:description>
  <cp:lastModifiedBy>Thomas Lee</cp:lastModifiedBy>
  <cp:revision/>
  <dcterms:created xsi:type="dcterms:W3CDTF">2021-12-10T15:19:40Z</dcterms:created>
  <dcterms:modified xsi:type="dcterms:W3CDTF">2022-03-12T15:26:40Z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0x010100E767926557F5F54ABA4739F523BC22AC</vt:lpwstr>
  </property>
</Properties>
</file>